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78HQ54\Documents\"/>
    </mc:Choice>
  </mc:AlternateContent>
  <xr:revisionPtr revIDLastSave="0" documentId="13_ncr:1_{02C7A7E1-CDE7-4F75-B88C-9D4AB47EF0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BD - PROCESOS" sheetId="5" state="hidden" r:id="rId2"/>
    <sheet name="ISO14001" sheetId="8" state="hidden" r:id="rId3"/>
    <sheet name="ISO9001" sheetId="10" state="hidden" r:id="rId4"/>
  </sheets>
  <definedNames>
    <definedName name="_xlnm.Print_Area" localSheetId="0">Formato!$A$1:$AD$93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1" l="1"/>
  <c r="A44" i="1"/>
  <c r="A43" i="1"/>
  <c r="A42" i="1"/>
  <c r="A40" i="1"/>
  <c r="A39" i="1"/>
  <c r="A38" i="1"/>
  <c r="A34" i="1"/>
  <c r="A33" i="1"/>
  <c r="A32" i="1"/>
  <c r="A31" i="1"/>
  <c r="A30" i="1"/>
  <c r="A29" i="1"/>
  <c r="A28" i="1"/>
  <c r="A24" i="1"/>
  <c r="A23" i="1"/>
  <c r="A22" i="1"/>
  <c r="A21" i="1"/>
  <c r="A20" i="1"/>
  <c r="A19" i="1"/>
  <c r="A18" i="1"/>
</calcChain>
</file>

<file path=xl/sharedStrings.xml><?xml version="1.0" encoding="utf-8"?>
<sst xmlns="http://schemas.openxmlformats.org/spreadsheetml/2006/main" count="895" uniqueCount="407">
  <si>
    <r>
      <rPr>
        <sz val="10"/>
        <color rgb="FF323298"/>
        <rFont val="Arial"/>
        <family val="2"/>
      </rPr>
      <t>Código: PE-GS-2.2.1-FOR-14</t>
    </r>
  </si>
  <si>
    <r>
      <rPr>
        <sz val="10"/>
        <color rgb="FF00007F"/>
        <rFont val="Arial"/>
        <family val="2"/>
      </rPr>
      <t>Versión: 10</t>
    </r>
  </si>
  <si>
    <r>
      <rPr>
        <sz val="10"/>
        <color rgb="FF00007F"/>
        <rFont val="Arial"/>
        <family val="2"/>
      </rPr>
      <t>Fecha de Actualización: 8-09-2021</t>
    </r>
  </si>
  <si>
    <r>
      <rPr>
        <sz val="11"/>
        <rFont val="Arial"/>
        <family val="2"/>
      </rPr>
      <t>Fecha de auditoría:</t>
    </r>
  </si>
  <si>
    <r>
      <rPr>
        <sz val="11"/>
        <rFont val="Arial"/>
        <family val="2"/>
      </rPr>
      <t>Día</t>
    </r>
  </si>
  <si>
    <r>
      <rPr>
        <sz val="11"/>
        <rFont val="Arial"/>
        <family val="2"/>
      </rPr>
      <t>Mes</t>
    </r>
  </si>
  <si>
    <r>
      <rPr>
        <sz val="11"/>
        <rFont val="Arial"/>
        <family val="2"/>
      </rPr>
      <t>Objetivo de la auditoría:</t>
    </r>
  </si>
  <si>
    <r>
      <rPr>
        <b/>
        <sz val="11"/>
        <rFont val="Arial"/>
        <family val="2"/>
      </rPr>
      <t>HALLAZGOS DE AUDITORÍA</t>
    </r>
  </si>
  <si>
    <r>
      <rPr>
        <b/>
        <sz val="11"/>
        <rFont val="Arial"/>
        <family val="2"/>
      </rPr>
      <t xml:space="preserve">FORTALEZAS </t>
    </r>
    <r>
      <rPr>
        <sz val="11"/>
        <rFont val="Arial"/>
        <family val="2"/>
      </rPr>
      <t xml:space="preserve">- </t>
    </r>
    <r>
      <rPr>
        <b/>
        <sz val="11"/>
        <rFont val="Arial"/>
        <family val="2"/>
      </rPr>
      <t>BUENAS PRÁCTICAS</t>
    </r>
  </si>
  <si>
    <r>
      <rPr>
        <b/>
        <sz val="11"/>
        <rFont val="Arial"/>
        <family val="2"/>
      </rPr>
      <t>NO CONFORMIDADES</t>
    </r>
  </si>
  <si>
    <r>
      <rPr>
        <sz val="11"/>
        <rFont val="Arial"/>
        <family val="2"/>
      </rPr>
      <t>Incumplimiento de requisitos (No Conformidades) que demandan Acciones Correctivas</t>
    </r>
  </si>
  <si>
    <r>
      <rPr>
        <b/>
        <sz val="11"/>
        <rFont val="Arial"/>
        <family val="2"/>
      </rPr>
      <t>VALIDACIÓN DE ANÁLISIS DE CAUSA (para cada No Conformidad)</t>
    </r>
  </si>
  <si>
    <r>
      <rPr>
        <b/>
        <sz val="10"/>
        <rFont val="Arial"/>
        <family val="2"/>
      </rPr>
      <t>¿Está formulada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en el PDM?</t>
    </r>
  </si>
  <si>
    <r>
      <rPr>
        <b/>
        <sz val="10"/>
        <rFont val="Arial"/>
        <family val="2"/>
      </rPr>
      <t>¿Utilizó la técnica de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los por qué y lo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registró en el PDM?</t>
    </r>
  </si>
  <si>
    <r>
      <rPr>
        <b/>
        <sz val="11"/>
        <rFont val="Arial"/>
        <family val="2"/>
      </rPr>
      <t>VALIDACIÓN DE NO CONFORMIDADES</t>
    </r>
  </si>
  <si>
    <r>
      <rPr>
        <b/>
        <sz val="10"/>
        <rFont val="Arial"/>
        <family val="2"/>
      </rPr>
      <t>ITEM</t>
    </r>
  </si>
  <si>
    <r>
      <rPr>
        <b/>
        <sz val="10"/>
        <rFont val="Arial"/>
        <family val="2"/>
      </rPr>
      <t>Se prevén los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recursos para su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ejecución</t>
    </r>
  </si>
  <si>
    <r>
      <rPr>
        <sz val="10"/>
        <rFont val="Arial"/>
        <family val="2"/>
      </rPr>
      <t>Corrección</t>
    </r>
  </si>
  <si>
    <r>
      <rPr>
        <b/>
        <sz val="11"/>
        <rFont val="Arial"/>
        <family val="2"/>
      </rPr>
      <t>RECOMENDACIONES</t>
    </r>
  </si>
  <si>
    <t>Describir las fortalezas (buenas prácticas identificadas), para ser replicadas en la institución (citar si las hay)</t>
  </si>
  <si>
    <t>EVIDENCIA</t>
  </si>
  <si>
    <t>META</t>
  </si>
  <si>
    <t>PORCENTAJE AVANCE</t>
  </si>
  <si>
    <t>PORCENTAJE DE EFICACIA Y EFICIENCIA</t>
  </si>
  <si>
    <t>1.  El auditado líder/responsable del proceso presentará en un plazo máximo de 10 días los ajustes al plan de mejoramiento derivado de la auditoría interna realizada.</t>
  </si>
  <si>
    <t xml:space="preserve">Nombre:                                                       </t>
  </si>
  <si>
    <t xml:space="preserve">Cargo:                                                            </t>
  </si>
  <si>
    <t>Año</t>
  </si>
  <si>
    <t>Capítulo</t>
  </si>
  <si>
    <t>Auditor/a líder:</t>
  </si>
  <si>
    <t>Responsable del proceso/dependencia:</t>
  </si>
  <si>
    <t>FACA</t>
  </si>
  <si>
    <t>FIET</t>
  </si>
  <si>
    <t>ARTES</t>
  </si>
  <si>
    <t>GestiónEstratégica</t>
  </si>
  <si>
    <t>SALUD</t>
  </si>
  <si>
    <t>CONTABLES</t>
  </si>
  <si>
    <t>HUMANAS</t>
  </si>
  <si>
    <t>FACNED</t>
  </si>
  <si>
    <t>DERECHO</t>
  </si>
  <si>
    <t>CIVIL</t>
  </si>
  <si>
    <t xml:space="preserve">ARTES </t>
  </si>
  <si>
    <t>GestiónAcadémica</t>
  </si>
  <si>
    <t>GestiónAdministrativa</t>
  </si>
  <si>
    <t>GestiónDeLaInvestigación</t>
  </si>
  <si>
    <t>GestiónDeLaCultura</t>
  </si>
  <si>
    <t>GestiónDelControl</t>
  </si>
  <si>
    <t>Capítulo4</t>
  </si>
  <si>
    <t>Capítulo5</t>
  </si>
  <si>
    <t>Capítulo6</t>
  </si>
  <si>
    <t>Capítulo7</t>
  </si>
  <si>
    <t>Capítulo8</t>
  </si>
  <si>
    <t>Capítulo9</t>
  </si>
  <si>
    <t>Capítulo10</t>
  </si>
  <si>
    <t>a</t>
  </si>
  <si>
    <t>b</t>
  </si>
  <si>
    <t>c</t>
  </si>
  <si>
    <t>Sub4.2</t>
  </si>
  <si>
    <t>Sub4.3</t>
  </si>
  <si>
    <t>Sub4.1</t>
  </si>
  <si>
    <t>Sub4.4</t>
  </si>
  <si>
    <t>d</t>
  </si>
  <si>
    <t>e</t>
  </si>
  <si>
    <t>f</t>
  </si>
  <si>
    <t>g</t>
  </si>
  <si>
    <t>h</t>
  </si>
  <si>
    <t>Sub5.1</t>
  </si>
  <si>
    <t>Sub5.2</t>
  </si>
  <si>
    <t>Sub5.3</t>
  </si>
  <si>
    <t>i</t>
  </si>
  <si>
    <t>Sub6.1</t>
  </si>
  <si>
    <t>Sub6.2</t>
  </si>
  <si>
    <t>Sub6.1.1</t>
  </si>
  <si>
    <t>Sub6.1.2</t>
  </si>
  <si>
    <t>Sub6.2.1</t>
  </si>
  <si>
    <t>Sub6.2.2</t>
  </si>
  <si>
    <t>Sub7.1</t>
  </si>
  <si>
    <t>Sub7.2</t>
  </si>
  <si>
    <t>Sub7.3</t>
  </si>
  <si>
    <t>Sub7.4</t>
  </si>
  <si>
    <t>Sub7.5</t>
  </si>
  <si>
    <t>Sub7.5.1</t>
  </si>
  <si>
    <t>Sub7.5.2</t>
  </si>
  <si>
    <t>Sub7.5.3</t>
  </si>
  <si>
    <t>Sub8.1</t>
  </si>
  <si>
    <t>Sub8.2</t>
  </si>
  <si>
    <t>Sub9.1</t>
  </si>
  <si>
    <t>Sub9.2</t>
  </si>
  <si>
    <t>Sub9.3</t>
  </si>
  <si>
    <t>Sub9.1.1</t>
  </si>
  <si>
    <t>Sub9.1.2</t>
  </si>
  <si>
    <t>Sub9.2.1</t>
  </si>
  <si>
    <t>Sub9.2.2</t>
  </si>
  <si>
    <t>Sub10.1</t>
  </si>
  <si>
    <t>Sub10.2</t>
  </si>
  <si>
    <t>Sub10.3</t>
  </si>
  <si>
    <t>Sub6.1.4</t>
  </si>
  <si>
    <t>Sub6.1.3</t>
  </si>
  <si>
    <t>REGISTRO DE SEGUIMIENTO A PLANES DE MEJORAMIENTO SUSCRITOS</t>
  </si>
  <si>
    <t>OPORTUNIDADES DE MEJORA</t>
  </si>
  <si>
    <r>
      <rPr>
        <b/>
        <sz val="11"/>
        <rFont val="Arial"/>
        <family val="2"/>
      </rPr>
      <t>REGISTRO DE AVANCES DE LAS ACCIONES DEL PLAN DE MEJORAMIENTO PARA OPORTUNIDADES DE</t>
    </r>
    <r>
      <rPr>
        <b/>
        <sz val="11"/>
        <rFont val="Arial"/>
        <family val="2"/>
      </rPr>
      <t xml:space="preserve"> MEJORAMIENTO</t>
    </r>
  </si>
  <si>
    <t>Proceso:</t>
  </si>
  <si>
    <t>Dependencia:</t>
  </si>
  <si>
    <t>Auditores acompañantes:</t>
  </si>
  <si>
    <t xml:space="preserve"> Digital             </t>
  </si>
  <si>
    <t>Físico</t>
  </si>
  <si>
    <t>Sub7.4.1</t>
  </si>
  <si>
    <t>Sub7.4.2</t>
  </si>
  <si>
    <t>Sub7.4.3</t>
  </si>
  <si>
    <t>Redactar conclusiones precisas, concisas y claras conforme a: conformidad de requisitos, Implementación, mantenimiento y eficacia de la gestión de calidad, logro de los objetivos de auditoría, cobertura alcance y cumplimiento de criterios.</t>
  </si>
  <si>
    <t>COMPROMISOS</t>
  </si>
  <si>
    <t xml:space="preserve">del mes    </t>
  </si>
  <si>
    <t xml:space="preserve">  a los  </t>
  </si>
  <si>
    <t xml:space="preserve">días del mes   </t>
  </si>
  <si>
    <t>del año</t>
  </si>
  <si>
    <t>Se firma en</t>
  </si>
  <si>
    <r>
      <rPr>
        <sz val="11"/>
        <rFont val="Arial"/>
        <family val="2"/>
      </rPr>
      <t>Firma Auditor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Líder:</t>
    </r>
  </si>
  <si>
    <t>Firma Responsable Auditado:</t>
  </si>
  <si>
    <r>
      <rPr>
        <sz val="11"/>
        <rFont val="Arial"/>
        <family val="2"/>
      </rPr>
      <t>Describir los requisitos susceptibles de mejora priorizados, que sean posibles de ejecutar, con respecto a los criterios de auditoría y la lista de chequeo (tenga en cuenta que el número no exceda de 4)</t>
    </r>
  </si>
  <si>
    <t>PROYECTO</t>
  </si>
  <si>
    <t>ACTIVIDAD</t>
  </si>
  <si>
    <t>FECHA FIN</t>
  </si>
  <si>
    <t>En atención a la Resolución 290 de 2019 de la Universidad del Cauca:</t>
  </si>
  <si>
    <t>Criterios de la auditoría:</t>
  </si>
  <si>
    <t>Programa:</t>
  </si>
  <si>
    <t>Asistencia:</t>
  </si>
  <si>
    <t>ISO</t>
  </si>
  <si>
    <t>No.</t>
  </si>
  <si>
    <t>ISO14001.</t>
  </si>
  <si>
    <t>ISO9001.</t>
  </si>
  <si>
    <t>Descripción de Buenas prácticas</t>
  </si>
  <si>
    <t>Por qué se constituye como fortaleza</t>
  </si>
  <si>
    <t>j</t>
  </si>
  <si>
    <t>Capitulo4</t>
  </si>
  <si>
    <t>Capitulo5</t>
  </si>
  <si>
    <t>Capitulo6</t>
  </si>
  <si>
    <t>Capitulo7</t>
  </si>
  <si>
    <t>Capitulo8</t>
  </si>
  <si>
    <t>Capitulo9</t>
  </si>
  <si>
    <t>Capitulo10</t>
  </si>
  <si>
    <t>Subc4.1</t>
  </si>
  <si>
    <t>Subc4.2</t>
  </si>
  <si>
    <t>Subc4.3</t>
  </si>
  <si>
    <t>Subc4.4</t>
  </si>
  <si>
    <t>Subc4.4.1</t>
  </si>
  <si>
    <t>Subc4.4.2</t>
  </si>
  <si>
    <t>Subc5.1</t>
  </si>
  <si>
    <t>Subc5.1.1</t>
  </si>
  <si>
    <t>Subc5.1.2</t>
  </si>
  <si>
    <t>Subc5.2</t>
  </si>
  <si>
    <t>Subc5.2.1</t>
  </si>
  <si>
    <t>Subc5.2.2</t>
  </si>
  <si>
    <t>Subc5.3</t>
  </si>
  <si>
    <t>Subc6.3</t>
  </si>
  <si>
    <t>Subc6.2.2</t>
  </si>
  <si>
    <t>Subc6.2.1</t>
  </si>
  <si>
    <t>Subc6.2</t>
  </si>
  <si>
    <t>Subc6.1.2</t>
  </si>
  <si>
    <t>Subc6.1.1</t>
  </si>
  <si>
    <t>Subc6.1</t>
  </si>
  <si>
    <t>Subc7.1</t>
  </si>
  <si>
    <t>Subc7.2</t>
  </si>
  <si>
    <t>Subc7.3</t>
  </si>
  <si>
    <t>Subc7.4</t>
  </si>
  <si>
    <t>Subc7.5</t>
  </si>
  <si>
    <t>Subc7.1.1</t>
  </si>
  <si>
    <t>Subc7.1.2</t>
  </si>
  <si>
    <t>Subc7.1.3</t>
  </si>
  <si>
    <t>Subc7.1.4</t>
  </si>
  <si>
    <t>Subc7.1.5</t>
  </si>
  <si>
    <t>Subc7.1.5.1</t>
  </si>
  <si>
    <t>Subc7.1.5.2</t>
  </si>
  <si>
    <t>Subc7.1.6</t>
  </si>
  <si>
    <t>Subc7.5.1</t>
  </si>
  <si>
    <t>Subc7.5.2</t>
  </si>
  <si>
    <t>Subc7.5.3</t>
  </si>
  <si>
    <t>Subc7.5.3.1</t>
  </si>
  <si>
    <t>Subc7.5.3.2</t>
  </si>
  <si>
    <t>Subc8.1</t>
  </si>
  <si>
    <t>Subc8.2</t>
  </si>
  <si>
    <t>Subc8.3</t>
  </si>
  <si>
    <t>Subc8.4</t>
  </si>
  <si>
    <t>Subc8.5</t>
  </si>
  <si>
    <t>Subc8.6</t>
  </si>
  <si>
    <t>Subc8.7</t>
  </si>
  <si>
    <t>Subc8.2.1</t>
  </si>
  <si>
    <t>Subc8.2.2</t>
  </si>
  <si>
    <t>Subc8.2.3</t>
  </si>
  <si>
    <t>Subc8.2.4</t>
  </si>
  <si>
    <t>Subc8.2.3.1</t>
  </si>
  <si>
    <t>Subc8.2.3.2</t>
  </si>
  <si>
    <t>Subc8.3.1</t>
  </si>
  <si>
    <t>Subc8.3.2</t>
  </si>
  <si>
    <t>Subc8.3.3</t>
  </si>
  <si>
    <t>Subc8.3.4</t>
  </si>
  <si>
    <t>Subc8.3.5</t>
  </si>
  <si>
    <t>Subc8.3.6</t>
  </si>
  <si>
    <t>Subc8.4.1</t>
  </si>
  <si>
    <t>Subc8.4.2</t>
  </si>
  <si>
    <t>Subc8.4.3</t>
  </si>
  <si>
    <t>Subc8.5.1</t>
  </si>
  <si>
    <t>Subc8.5.2</t>
  </si>
  <si>
    <t>Subc8.5.3</t>
  </si>
  <si>
    <t>Subc8.5.4</t>
  </si>
  <si>
    <t>Subc8.5.5</t>
  </si>
  <si>
    <t>Subc8.5.6</t>
  </si>
  <si>
    <t>Subc8.7.1</t>
  </si>
  <si>
    <t>Subc8.7.2</t>
  </si>
  <si>
    <t>Subc9.1</t>
  </si>
  <si>
    <t>Subc9.2</t>
  </si>
  <si>
    <t>Subc9.3</t>
  </si>
  <si>
    <t>Subc9.1.1</t>
  </si>
  <si>
    <t>Subc9.1.2</t>
  </si>
  <si>
    <t>Subc9.1.3</t>
  </si>
  <si>
    <t>Subc9.2.1</t>
  </si>
  <si>
    <t>Subc9.2.2</t>
  </si>
  <si>
    <t>Subc9.3.1</t>
  </si>
  <si>
    <t>Subc9.3.2</t>
  </si>
  <si>
    <t>Subc9.3.3</t>
  </si>
  <si>
    <t>Subc10.1</t>
  </si>
  <si>
    <t>Subc10.2</t>
  </si>
  <si>
    <t>Subc10.3</t>
  </si>
  <si>
    <t>Subc10.2.1</t>
  </si>
  <si>
    <t>Subc10.2.2</t>
  </si>
  <si>
    <t>NOTAS ISO 9001:</t>
  </si>
  <si>
    <t>NOTAS ISO 14001:</t>
  </si>
  <si>
    <t>ISO:</t>
  </si>
  <si>
    <t>NombresISO</t>
  </si>
  <si>
    <t>Acción Correctiva</t>
  </si>
  <si>
    <t>Gestión de la Calidad</t>
  </si>
  <si>
    <t>Gestión de Recursos Tecnológicos</t>
  </si>
  <si>
    <t>Gestión Documental</t>
  </si>
  <si>
    <t>Gestión Jurídica</t>
  </si>
  <si>
    <t>Gestión de la Planeación</t>
  </si>
  <si>
    <t>Gestión de Comunicaciones</t>
  </si>
  <si>
    <t>Gestión de Admisiones Registro y Control</t>
  </si>
  <si>
    <t>Gestión de Egresados</t>
  </si>
  <si>
    <t>Gestión de Posgrados</t>
  </si>
  <si>
    <t xml:space="preserve">Gestión de Recursos Bibliográficos </t>
  </si>
  <si>
    <t>Artes Plásticas</t>
  </si>
  <si>
    <t>Diseño Gráfico</t>
  </si>
  <si>
    <t>Dirección de Banda</t>
  </si>
  <si>
    <t>Música Instrumental</t>
  </si>
  <si>
    <t>Licenciatura en Música</t>
  </si>
  <si>
    <t>Maestría en Música</t>
  </si>
  <si>
    <t>Ingeniería Agroindustrial</t>
  </si>
  <si>
    <t>Ingeniería Agropecuaria</t>
  </si>
  <si>
    <t>Ingeniería Forestal</t>
  </si>
  <si>
    <t>Doctorado en Ciencias Agrarias y AGROIND</t>
  </si>
  <si>
    <t>Ciencias Políticas</t>
  </si>
  <si>
    <t>Comunicación Social</t>
  </si>
  <si>
    <t>Derecho - Sede Popayán</t>
  </si>
  <si>
    <t>Doctorado en Ingeniería Telemática</t>
  </si>
  <si>
    <t>Ingeniería en Automática Industrial</t>
  </si>
  <si>
    <t>Licenciatura en Lenguas Modernas con Énfasis en Inglés y Francés - Sede Popayán</t>
  </si>
  <si>
    <t>Licenciatura en Literatura y Lengua Castellana</t>
  </si>
  <si>
    <t>Filosofía</t>
  </si>
  <si>
    <t>Historia</t>
  </si>
  <si>
    <t>Arquitectura</t>
  </si>
  <si>
    <t>Ingeniería Ambiental</t>
  </si>
  <si>
    <t>Ingeniería Civil</t>
  </si>
  <si>
    <t>Medicina</t>
  </si>
  <si>
    <t>Especialización en Pediatría</t>
  </si>
  <si>
    <t>Fisioterapia</t>
  </si>
  <si>
    <t>Contaduría Pública</t>
  </si>
  <si>
    <t>Maestría en Estudios Multidisciplinarios del Desarrollo</t>
  </si>
  <si>
    <t>Turismo</t>
  </si>
  <si>
    <t>Licenciatura en Matemáticas</t>
  </si>
  <si>
    <t>Licenciatura en Educación Básica con Énfasis en Ciencias Naturales y Educación Ambiental</t>
  </si>
  <si>
    <t>Química</t>
  </si>
  <si>
    <t>Licenciatura en Educación Básica con Énfasis en Educación Artística</t>
  </si>
  <si>
    <t>Licenciatura en Educación Básica Primaria</t>
  </si>
  <si>
    <t>Licenciatura en Educación Física, Recreación y Deportes</t>
  </si>
  <si>
    <t>Ingeniería Electrónica y Telecomunicaciones</t>
  </si>
  <si>
    <t>Maestría en Computación</t>
  </si>
  <si>
    <t>Maestría en Gobierno</t>
  </si>
  <si>
    <t>Administración de Empresas</t>
  </si>
  <si>
    <t>Maestría en Gestión de Organizaciones y Proyéctos</t>
  </si>
  <si>
    <t xml:space="preserve">Maestría en Educación </t>
  </si>
  <si>
    <t>Enfermería</t>
  </si>
  <si>
    <t>Especialización en Medicina Familiar</t>
  </si>
  <si>
    <t>Especialización en Pavimentos</t>
  </si>
  <si>
    <t>Economía</t>
  </si>
  <si>
    <t>Maestría en Ciencias Agrarias</t>
  </si>
  <si>
    <t>Fonoaudiología</t>
  </si>
  <si>
    <t>Especialización en Anatomía Patológica</t>
  </si>
  <si>
    <t>Especialización en Auditoría y Garantía de la Calidad en Salud con Énfasis en Epidemiología convenio EAN</t>
  </si>
  <si>
    <t>Especialización en Bioética, Modaldiad a Distancia en Convenio con la Universidad del Bosque</t>
  </si>
  <si>
    <t>Especialización en Cirugía General</t>
  </si>
  <si>
    <t>Especialización en Ginecología y Obstetricia</t>
  </si>
  <si>
    <t>Especialización en Medicina Interna</t>
  </si>
  <si>
    <t>Especialización en Neurorehabilitación</t>
  </si>
  <si>
    <t>Especialización en Seguridad y Salud en el Trabajo</t>
  </si>
  <si>
    <t>Maestría en Administración de Empresas de Salud - MBA_EN_SALUD</t>
  </si>
  <si>
    <t>Especialización en Gerencia de Impuestos</t>
  </si>
  <si>
    <t>Especialización en Gerencia de Proyectos</t>
  </si>
  <si>
    <t>Especialización en Revisoria Fiscal y Auditoría Internacional</t>
  </si>
  <si>
    <t>Especialización en Mercadeo Corporativo</t>
  </si>
  <si>
    <t>Maestría en Contabilidad y Finanzas</t>
  </si>
  <si>
    <t>Antropología</t>
  </si>
  <si>
    <t>Licenciatura en Etnoeducación</t>
  </si>
  <si>
    <t>Licenciatura en Lenguas Modernas con Énfasis en Inglés y Francés - Sede Santander</t>
  </si>
  <si>
    <t>Doctorado en Ciencias Humanas</t>
  </si>
  <si>
    <t>Maestría en Ciencias Humanas</t>
  </si>
  <si>
    <t>Maestría en Estudios Interculturales</t>
  </si>
  <si>
    <t>Maestría en Ética y Filosofía Política</t>
  </si>
  <si>
    <t>Maestría en Historia</t>
  </si>
  <si>
    <t>Maestría en Revitalización y Enseñanza de Lenguas Indígenas</t>
  </si>
  <si>
    <t>Derecho Nocturno - Sede Popayán</t>
  </si>
  <si>
    <t>Derecho - Sede Santander de Quilichao</t>
  </si>
  <si>
    <t>Derecho Nocturno - Sede Santander de Quilichao</t>
  </si>
  <si>
    <t>Especialización en Derecho Administrativo</t>
  </si>
  <si>
    <t>Geotecnología</t>
  </si>
  <si>
    <t>Especialización en Ingeniería de la Construcción</t>
  </si>
  <si>
    <t>Especialización en Ingeniería de Vías Terrestres</t>
  </si>
  <si>
    <t>Especialización en Tránsito</t>
  </si>
  <si>
    <t>Ingeniería de Sistemas</t>
  </si>
  <si>
    <t>Tecnología en Telemática</t>
  </si>
  <si>
    <t>Especialización en Desarrollo de Soluciones Informáticas</t>
  </si>
  <si>
    <t>Especialización en Redes y Servicios Telemáticos</t>
  </si>
  <si>
    <t>Especialización en Sistemas de Radiocomunicaciones</t>
  </si>
  <si>
    <t>Especialización en Telemática</t>
  </si>
  <si>
    <t>Maestría en Ingeniería - Área Electrónica y Telecomunicaciones</t>
  </si>
  <si>
    <t>Maestría en Ingeniería Telemática</t>
  </si>
  <si>
    <t>Doctorado en Ciencias de la Electrónica</t>
  </si>
  <si>
    <t>Biología</t>
  </si>
  <si>
    <t>Ingeniería Física</t>
  </si>
  <si>
    <t>Licenciatura en Educación Básica Énfasis en Lengua Castellana e Inglés</t>
  </si>
  <si>
    <t>Matemáticas</t>
  </si>
  <si>
    <t>Doctorado en Ciencias Matemáticas</t>
  </si>
  <si>
    <t>Doctorado en Ciencias - Quimica</t>
  </si>
  <si>
    <t>Doctorado en Educación</t>
  </si>
  <si>
    <t>Doctorado en Etnobiología y Estudios Bioculturales</t>
  </si>
  <si>
    <t>Especialización en Educación Comunitaria</t>
  </si>
  <si>
    <t>Maestría en Ciencias Matemáticas</t>
  </si>
  <si>
    <t>Maestría en Ingeniería Física</t>
  </si>
  <si>
    <t>Maestría en Ciencias Químicas</t>
  </si>
  <si>
    <t>Maestría en Educación Popular</t>
  </si>
  <si>
    <t>Maestría en Recursos Hidrobiológicas Continentales</t>
  </si>
  <si>
    <t>Gestión Financiera</t>
  </si>
  <si>
    <t xml:space="preserve"> Gestión de Bienes y Servicios</t>
  </si>
  <si>
    <t xml:space="preserve"> Gestión del Talento Humano</t>
  </si>
  <si>
    <t>Adquisiciones</t>
  </si>
  <si>
    <t>Gestión de las Investigaciones</t>
  </si>
  <si>
    <t>Interacción Social</t>
  </si>
  <si>
    <t>Desarrollo Editorial</t>
  </si>
  <si>
    <t>Bienestar y Cultura</t>
  </si>
  <si>
    <t>Control Interno</t>
  </si>
  <si>
    <t>Recreación y Deporte</t>
  </si>
  <si>
    <t>Gestión ORI - Relaciones Internacionales</t>
  </si>
  <si>
    <t>Bienestar Salud Integral y Desarrollo Humano</t>
  </si>
  <si>
    <t>Gestión de Cultura y Patrimonio</t>
  </si>
  <si>
    <t>Gestión de Mantenimiento</t>
  </si>
  <si>
    <t>Descripción de Oportunidad de mejora</t>
  </si>
  <si>
    <t xml:space="preserve">Para qué </t>
  </si>
  <si>
    <t>Descripción de la No Conformidad</t>
  </si>
  <si>
    <t>Evidencia que la soporta</t>
  </si>
  <si>
    <t>Identificación de la Causa Raíz</t>
  </si>
  <si>
    <r>
      <rPr>
        <b/>
        <sz val="10"/>
        <rFont val="Arial"/>
        <family val="2"/>
      </rPr>
      <t>Las acciones atienden de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manera efectiva lo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requerido</t>
    </r>
  </si>
  <si>
    <r>
      <rPr>
        <b/>
        <sz val="10"/>
        <rFont val="Arial"/>
        <family val="2"/>
      </rPr>
      <t>El tiempo previsto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para atenderlas es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adecuado</t>
    </r>
  </si>
  <si>
    <t xml:space="preserve">2.  Se acuerda realizar el seguimiento en la fecha:                </t>
  </si>
  <si>
    <t>Septiembre</t>
  </si>
  <si>
    <t>Especialización en Administración Hospitalaria</t>
  </si>
  <si>
    <t>Especialización en Intervención del Lenguaje Infantil</t>
  </si>
  <si>
    <t>Administración Financiera</t>
  </si>
  <si>
    <t>Especialización en Contabilidad Pública</t>
  </si>
  <si>
    <t>Especialización en Gerencia de Proyectos Convenio UNINARIÑO</t>
  </si>
  <si>
    <t>Especialización en Sistemas Integrados de la Calidad</t>
  </si>
  <si>
    <t>Maestría en Cooperación Internacional Convenio Norte Sur - Universidad del Cauca</t>
  </si>
  <si>
    <t>Geografía del Desarrollo Regional y Ambiental</t>
  </si>
  <si>
    <t>Doctorado en Antropología</t>
  </si>
  <si>
    <t>Maestría en Antropología</t>
  </si>
  <si>
    <t>Maestría en Artes Integradas con el Ambiente</t>
  </si>
  <si>
    <t>Maestría en Estudios de Riesgos de Desastre y Ordenamiento Territorial</t>
  </si>
  <si>
    <t>Meses</t>
  </si>
  <si>
    <t>Días</t>
  </si>
  <si>
    <t>Meses Letras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</si>
  <si>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</si>
  <si>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</si>
  <si>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</si>
  <si>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</si>
  <si>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</si>
  <si>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</si>
  <si>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</si>
  <si>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</si>
  <si>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Octubre</t>
  </si>
  <si>
    <t>Noviembre</t>
  </si>
  <si>
    <t>Diciembre</t>
  </si>
  <si>
    <t>de</t>
  </si>
  <si>
    <t>CONCLUSIONES DE LA AUDITORÍA</t>
  </si>
  <si>
    <r>
      <rPr>
        <b/>
        <sz val="10"/>
        <rFont val="Arial"/>
        <family val="2"/>
      </rPr>
      <t>¿Presenta acción correctiva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para atender causa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raíz?</t>
    </r>
  </si>
  <si>
    <t>Numeral Norma
(Detallar el numeral específico hasta el índice que corresponda)</t>
  </si>
  <si>
    <t>Programa de Permanencia y Graduación</t>
  </si>
  <si>
    <t>Popayán</t>
  </si>
  <si>
    <t>Pedro Perez</t>
  </si>
  <si>
    <t>Juan Rodriguez</t>
  </si>
  <si>
    <t>ISO 9001:2015 (numerales 8.5, 7.1.5, 9.1)
Procedimiento interno de inventarios PR-INV-01</t>
  </si>
  <si>
    <t>Evaluar la eficacia del proceso de gestión de inventarios en cuanto al control, registro, almacenamiento y trazabilidad de los bienes institucionales, verificando su conformidad con los requisitos establecidos.</t>
  </si>
  <si>
    <t>Puede afectar la confiabilidad de la información para la toma de decisiones.</t>
  </si>
  <si>
    <t>El proceso de gestión de inventarios presenta un nivel de cumplimiento adecuado en cuanto a control y verificación física, evidenciando prácticas consolidadas en el seguimiento de bienes.
Sin embargo, se identifican debilidades en la oportunidad del registro y en la trazabilidad de algunos elementos, lo cual puede afectar la confiabilidad de la información y generar riesgos operativos.
En relación con el objetivo de la auditoría, se concluye que:
El proceso es parcialmente eficaz, cumpliendo en control físico pero con brechas en actualización y control documental.
Se requiere fortalecer los mecanismos de control en tiempo real y estandarización del almacenamiento.</t>
  </si>
  <si>
    <t>Jefe Area</t>
  </si>
  <si>
    <t>Auditor Lider</t>
  </si>
  <si>
    <t>Implementar alertas automáticas en el sistema para registros tardíos
Estandarizar señalización en bodegas
Integrar inventario con indicadores de rotación y obsolescencia
Incorporar análisis de riesgos en pérdidas o inconsistencias
👉 Esto permitiría evolucionar de un control operativo a un control estratégico del inventario.Fortalecer control de tiempos de registro
Tambien puede raliazar labores en:
Fortalecer control de tiempos de registro
Implementar auditorías cruzadas periódicas
Actualizar procedimiento incluyendo controles preventivos
Capacitar al personal en trazabilidad</t>
  </si>
  <si>
    <t>(seguimiento y medición)
Evidencia: Existencia de controles periódicos de inventario físico vs sistema
Situación: Se cumple adecuadamente</t>
  </si>
  <si>
    <t>7.5.3.2 Control de la información documentada
Criterio: Procedimiento PR-INV-01 establece actualización diaria del sistema
Evidencia: Se evidenció que 3 de 10 registros presentan actualización con retraso de hasta 3 días
Situación: Incumplimiento parcial del control de oportunidad en el registro</t>
  </si>
  <si>
    <t>Criterio: PR-INV-01 – control de almacenamiento
Situación: Incumplimiento del control de trazabilidad</t>
  </si>
  <si>
    <t>Evidencia: Materiales almacenados sin identificación en bodega secundaria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</si>
</sst>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color rgb="FF000000"/>
      <name val="Times New Roman"/>
      <charset val="204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323298"/>
      <name val="Arial"/>
      <family val="2"/>
    </font>
    <font>
      <sz val="10"/>
      <color rgb="FF00007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  <charset val="204"/>
    </font>
    <font>
      <sz val="10"/>
      <color theme="0"/>
      <name val="Times New Roman"/>
      <family val="1"/>
    </font>
    <font>
      <sz val="10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theme="1"/>
      <name val="Arial"/>
      <family val="2"/>
    </font>
    <font>
      <sz val="9"/>
      <name val="Times New Roman"/>
      <family val="1"/>
    </font>
    <font>
      <sz val="9"/>
      <color rgb="FF000000"/>
      <name val="Times New Roman"/>
      <family val="1"/>
    </font>
    <font>
      <sz val="8"/>
      <name val="Times New Roman"/>
      <family val="1"/>
    </font>
    <font>
      <sz val="12"/>
      <name val="Arial"/>
      <family val="2"/>
    </font>
    <font>
      <sz val="10"/>
      <color rgb="FF000000"/>
      <name val="Times New Roman"/>
      <family val="1"/>
    </font>
    <font>
      <b/>
      <sz val="10"/>
      <name val="Times New Roman"/>
      <family val="2"/>
      <charset val="204"/>
    </font>
    <font>
      <b/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1F487C"/>
      </top>
      <bottom/>
      <diagonal/>
    </border>
    <border>
      <left/>
      <right style="thin">
        <color rgb="FF1F487C"/>
      </right>
      <top style="thin">
        <color rgb="FF1F487C"/>
      </top>
      <bottom/>
      <diagonal/>
    </border>
    <border>
      <left style="thin">
        <color rgb="FF1F487C"/>
      </left>
      <right/>
      <top style="thin">
        <color rgb="FF1F487C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1F487C"/>
      </left>
      <right/>
      <top/>
      <bottom style="thin">
        <color indexed="64"/>
      </bottom>
      <diagonal/>
    </border>
    <border>
      <left/>
      <right style="thin">
        <color rgb="FF1F487C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1F487C"/>
      </top>
      <bottom style="thin">
        <color indexed="64"/>
      </bottom>
      <diagonal/>
    </border>
    <border>
      <left/>
      <right style="thin">
        <color rgb="FF1F487C"/>
      </right>
      <top style="thin">
        <color rgb="FF1F487C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295">
    <xf numFmtId="0" fontId="0" fillId="0" borderId="0" xfId="0" applyAlignment="1">
      <alignment horizontal="left" vertical="top"/>
    </xf>
    <xf numFmtId="0" fontId="14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/>
    </xf>
    <xf numFmtId="0" fontId="20" fillId="6" borderId="7" xfId="0" applyFont="1" applyFill="1" applyBorder="1" applyAlignment="1" applyProtection="1">
      <alignment horizontal="center" vertical="center" wrapText="1"/>
      <protection locked="0"/>
    </xf>
    <xf numFmtId="0" fontId="8" fillId="6" borderId="7" xfId="0" applyFont="1" applyFill="1" applyBorder="1" applyAlignment="1" applyProtection="1">
      <alignment horizontal="center" vertical="center" wrapText="1"/>
      <protection locked="0"/>
    </xf>
    <xf numFmtId="0" fontId="14" fillId="6" borderId="7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vertical="center" wrapText="1"/>
      <protection locked="0"/>
    </xf>
    <xf numFmtId="0" fontId="4" fillId="7" borderId="4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14" fillId="6" borderId="18" xfId="0" applyFont="1" applyFill="1" applyBorder="1" applyAlignment="1" applyProtection="1">
      <alignment horizontal="center" vertical="center"/>
      <protection locked="0"/>
    </xf>
    <xf numFmtId="0" fontId="13" fillId="0" borderId="2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6" borderId="18" xfId="0" applyFont="1" applyFill="1" applyBorder="1" applyAlignment="1" applyProtection="1">
      <alignment horizontal="center" vertical="center"/>
      <protection locked="0"/>
    </xf>
    <xf numFmtId="0" fontId="4" fillId="7" borderId="4" xfId="0" applyFont="1" applyFill="1" applyBorder="1" applyAlignment="1">
      <alignment vertical="center" wrapText="1"/>
    </xf>
    <xf numFmtId="0" fontId="18" fillId="0" borderId="20" xfId="1" applyFont="1" applyBorder="1" applyAlignment="1">
      <alignment horizontal="center" vertical="center"/>
    </xf>
    <xf numFmtId="0" fontId="13" fillId="0" borderId="0" xfId="1" applyAlignment="1">
      <alignment horizontal="center" vertical="center"/>
    </xf>
    <xf numFmtId="0" fontId="18" fillId="0" borderId="19" xfId="1" applyFont="1" applyBorder="1" applyAlignment="1">
      <alignment horizontal="center" vertical="center"/>
    </xf>
    <xf numFmtId="0" fontId="18" fillId="0" borderId="21" xfId="1" applyFont="1" applyBorder="1" applyAlignment="1">
      <alignment horizontal="center" vertical="center"/>
    </xf>
    <xf numFmtId="0" fontId="13" fillId="0" borderId="20" xfId="1" applyBorder="1" applyAlignment="1">
      <alignment horizontal="center" vertical="center"/>
    </xf>
    <xf numFmtId="0" fontId="13" fillId="0" borderId="19" xfId="1" applyBorder="1" applyAlignment="1">
      <alignment horizontal="center" vertical="center"/>
    </xf>
    <xf numFmtId="0" fontId="13" fillId="0" borderId="21" xfId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0" fillId="6" borderId="31" xfId="0" applyFill="1" applyBorder="1" applyAlignment="1" applyProtection="1">
      <alignment horizontal="center" vertical="top" wrapText="1"/>
      <protection locked="0"/>
    </xf>
    <xf numFmtId="0" fontId="0" fillId="6" borderId="21" xfId="0" applyFill="1" applyBorder="1" applyAlignment="1" applyProtection="1">
      <alignment horizontal="center" vertical="top" wrapText="1"/>
      <protection locked="0"/>
    </xf>
    <xf numFmtId="0" fontId="0" fillId="6" borderId="30" xfId="0" applyFill="1" applyBorder="1" applyAlignment="1" applyProtection="1">
      <alignment horizontal="center" vertical="top" wrapText="1"/>
      <protection locked="0"/>
    </xf>
    <xf numFmtId="0" fontId="1" fillId="7" borderId="7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4" fillId="6" borderId="7" xfId="0" applyFont="1" applyFill="1" applyBorder="1" applyAlignment="1" applyProtection="1">
      <alignment horizontal="center" vertical="center" wrapText="1"/>
      <protection locked="0"/>
    </xf>
    <xf numFmtId="0" fontId="20" fillId="6" borderId="7" xfId="0" applyFont="1" applyFill="1" applyBorder="1" applyAlignment="1" applyProtection="1">
      <alignment horizontal="center" vertical="center"/>
      <protection locked="0"/>
    </xf>
    <xf numFmtId="0" fontId="8" fillId="7" borderId="7" xfId="0" applyFont="1" applyFill="1" applyBorder="1" applyAlignment="1">
      <alignment horizontal="center" vertical="center"/>
    </xf>
    <xf numFmtId="0" fontId="0" fillId="6" borderId="1" xfId="0" applyFill="1" applyBorder="1" applyAlignment="1" applyProtection="1">
      <alignment horizontal="center" vertical="top" wrapText="1"/>
      <protection locked="0"/>
    </xf>
    <xf numFmtId="0" fontId="0" fillId="6" borderId="2" xfId="0" applyFill="1" applyBorder="1" applyAlignment="1" applyProtection="1">
      <alignment horizontal="center" vertical="top" wrapText="1"/>
      <protection locked="0"/>
    </xf>
    <xf numFmtId="0" fontId="0" fillId="6" borderId="22" xfId="0" applyFill="1" applyBorder="1" applyAlignment="1" applyProtection="1">
      <alignment horizontal="center" vertical="top" wrapText="1"/>
      <protection locked="0"/>
    </xf>
    <xf numFmtId="0" fontId="0" fillId="6" borderId="7" xfId="0" applyFill="1" applyBorder="1" applyAlignment="1" applyProtection="1">
      <alignment horizontal="center" vertical="top" wrapText="1"/>
      <protection locked="0"/>
    </xf>
    <xf numFmtId="0" fontId="0" fillId="6" borderId="17" xfId="0" applyFill="1" applyBorder="1" applyAlignment="1" applyProtection="1">
      <alignment horizontal="center" vertical="top" wrapText="1"/>
      <protection locked="0"/>
    </xf>
    <xf numFmtId="0" fontId="0" fillId="6" borderId="19" xfId="0" applyFill="1" applyBorder="1" applyAlignment="1" applyProtection="1">
      <alignment horizontal="center" vertical="top" wrapText="1"/>
      <protection locked="0"/>
    </xf>
    <xf numFmtId="0" fontId="0" fillId="6" borderId="18" xfId="0" applyFill="1" applyBorder="1" applyAlignment="1" applyProtection="1">
      <alignment horizontal="center" vertical="top" wrapText="1"/>
      <protection locked="0"/>
    </xf>
    <xf numFmtId="0" fontId="0" fillId="6" borderId="46" xfId="0" applyFill="1" applyBorder="1" applyAlignment="1" applyProtection="1">
      <alignment horizontal="center" vertical="top" wrapText="1"/>
      <protection locked="0"/>
    </xf>
    <xf numFmtId="0" fontId="0" fillId="6" borderId="26" xfId="0" applyFill="1" applyBorder="1" applyAlignment="1" applyProtection="1">
      <alignment horizontal="center" vertical="top" wrapText="1"/>
      <protection locked="0"/>
    </xf>
    <xf numFmtId="0" fontId="0" fillId="6" borderId="47" xfId="0" applyFill="1" applyBorder="1" applyAlignment="1" applyProtection="1">
      <alignment horizontal="center" vertical="top" wrapText="1"/>
      <protection locked="0"/>
    </xf>
    <xf numFmtId="0" fontId="0" fillId="6" borderId="34" xfId="0" applyFill="1" applyBorder="1" applyAlignment="1" applyProtection="1">
      <alignment horizontal="center" vertical="top" wrapText="1"/>
      <protection locked="0"/>
    </xf>
    <xf numFmtId="0" fontId="0" fillId="6" borderId="3" xfId="0" applyFill="1" applyBorder="1" applyAlignment="1" applyProtection="1">
      <alignment horizontal="center" vertical="top" wrapText="1"/>
      <protection locked="0"/>
    </xf>
    <xf numFmtId="0" fontId="1" fillId="7" borderId="19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9" fontId="0" fillId="6" borderId="7" xfId="0" applyNumberFormat="1" applyFill="1" applyBorder="1" applyAlignment="1" applyProtection="1">
      <alignment horizontal="center" vertical="top" wrapText="1"/>
      <protection locked="0"/>
    </xf>
    <xf numFmtId="9" fontId="0" fillId="6" borderId="14" xfId="0" applyNumberFormat="1" applyFill="1" applyBorder="1" applyAlignment="1" applyProtection="1">
      <alignment horizontal="center" vertical="top" wrapText="1"/>
      <protection locked="0"/>
    </xf>
    <xf numFmtId="9" fontId="0" fillId="6" borderId="17" xfId="0" applyNumberFormat="1" applyFill="1" applyBorder="1" applyAlignment="1" applyProtection="1">
      <alignment horizontal="center" vertical="top" wrapText="1"/>
      <protection locked="0"/>
    </xf>
    <xf numFmtId="9" fontId="0" fillId="6" borderId="19" xfId="0" applyNumberFormat="1" applyFill="1" applyBorder="1" applyAlignment="1" applyProtection="1">
      <alignment horizontal="center" vertical="top" wrapText="1"/>
      <protection locked="0"/>
    </xf>
    <xf numFmtId="9" fontId="0" fillId="6" borderId="18" xfId="0" applyNumberFormat="1" applyFill="1" applyBorder="1" applyAlignment="1" applyProtection="1">
      <alignment horizontal="center" vertical="top" wrapText="1"/>
      <protection locked="0"/>
    </xf>
    <xf numFmtId="0" fontId="3" fillId="7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 wrapText="1"/>
    </xf>
    <xf numFmtId="0" fontId="20" fillId="6" borderId="31" xfId="0" applyFont="1" applyFill="1" applyBorder="1" applyAlignment="1" applyProtection="1">
      <alignment horizontal="left" vertical="top" wrapText="1"/>
      <protection locked="0"/>
    </xf>
    <xf numFmtId="0" fontId="20" fillId="6" borderId="21" xfId="0" applyFont="1" applyFill="1" applyBorder="1" applyAlignment="1" applyProtection="1">
      <alignment horizontal="left" vertical="top" wrapText="1"/>
      <protection locked="0"/>
    </xf>
    <xf numFmtId="0" fontId="20" fillId="6" borderId="30" xfId="0" applyFont="1" applyFill="1" applyBorder="1" applyAlignment="1" applyProtection="1">
      <alignment horizontal="left" vertical="top" wrapText="1"/>
      <protection locked="0"/>
    </xf>
    <xf numFmtId="0" fontId="20" fillId="6" borderId="37" xfId="0" applyFont="1" applyFill="1" applyBorder="1" applyAlignment="1" applyProtection="1">
      <alignment horizontal="left" vertical="top" wrapText="1"/>
      <protection locked="0"/>
    </xf>
    <xf numFmtId="0" fontId="20" fillId="6" borderId="0" xfId="0" applyFont="1" applyFill="1" applyAlignment="1" applyProtection="1">
      <alignment horizontal="left" vertical="top" wrapText="1"/>
      <protection locked="0"/>
    </xf>
    <xf numFmtId="0" fontId="20" fillId="6" borderId="38" xfId="0" applyFont="1" applyFill="1" applyBorder="1" applyAlignment="1" applyProtection="1">
      <alignment horizontal="left" vertical="top" wrapText="1"/>
      <protection locked="0"/>
    </xf>
    <xf numFmtId="0" fontId="20" fillId="6" borderId="29" xfId="0" applyFont="1" applyFill="1" applyBorder="1" applyAlignment="1" applyProtection="1">
      <alignment horizontal="left" vertical="top" wrapText="1"/>
      <protection locked="0"/>
    </xf>
    <xf numFmtId="0" fontId="20" fillId="6" borderId="20" xfId="0" applyFont="1" applyFill="1" applyBorder="1" applyAlignment="1" applyProtection="1">
      <alignment horizontal="left" vertical="top" wrapText="1"/>
      <protection locked="0"/>
    </xf>
    <xf numFmtId="0" fontId="20" fillId="6" borderId="28" xfId="0" applyFont="1" applyFill="1" applyBorder="1" applyAlignment="1" applyProtection="1">
      <alignment horizontal="left" vertical="top" wrapText="1"/>
      <protection locked="0"/>
    </xf>
    <xf numFmtId="0" fontId="0" fillId="0" borderId="7" xfId="0" applyBorder="1" applyAlignment="1">
      <alignment horizontal="center" vertical="top"/>
    </xf>
    <xf numFmtId="0" fontId="13" fillId="6" borderId="17" xfId="0" applyFont="1" applyFill="1" applyBorder="1" applyAlignment="1" applyProtection="1">
      <alignment horizontal="center" vertical="center" wrapText="1"/>
      <protection locked="0"/>
    </xf>
    <xf numFmtId="0" fontId="14" fillId="6" borderId="19" xfId="0" applyFont="1" applyFill="1" applyBorder="1" applyAlignment="1" applyProtection="1">
      <alignment horizontal="center" vertical="center" wrapText="1"/>
      <protection locked="0"/>
    </xf>
    <xf numFmtId="0" fontId="14" fillId="6" borderId="18" xfId="0" applyFont="1" applyFill="1" applyBorder="1" applyAlignment="1" applyProtection="1">
      <alignment horizontal="center" vertical="center" wrapText="1"/>
      <protection locked="0"/>
    </xf>
    <xf numFmtId="0" fontId="0" fillId="6" borderId="17" xfId="0" applyFill="1" applyBorder="1" applyAlignment="1" applyProtection="1">
      <alignment horizontal="center" vertical="center" wrapText="1"/>
      <protection locked="0"/>
    </xf>
    <xf numFmtId="0" fontId="0" fillId="6" borderId="19" xfId="0" applyFill="1" applyBorder="1" applyAlignment="1" applyProtection="1">
      <alignment horizontal="center" vertical="center" wrapText="1"/>
      <protection locked="0"/>
    </xf>
    <xf numFmtId="0" fontId="0" fillId="6" borderId="18" xfId="0" applyFill="1" applyBorder="1" applyAlignment="1" applyProtection="1">
      <alignment horizontal="center" vertical="center" wrapText="1"/>
      <protection locked="0"/>
    </xf>
    <xf numFmtId="0" fontId="8" fillId="3" borderId="17" xfId="0" applyFont="1" applyFill="1" applyBorder="1" applyAlignment="1" applyProtection="1">
      <alignment horizontal="center" vertical="center" wrapText="1"/>
      <protection locked="0"/>
    </xf>
    <xf numFmtId="0" fontId="8" fillId="3" borderId="18" xfId="0" applyFont="1" applyFill="1" applyBorder="1" applyAlignment="1" applyProtection="1">
      <alignment horizontal="center" vertical="center" wrapText="1"/>
      <protection locked="0"/>
    </xf>
    <xf numFmtId="0" fontId="2" fillId="3" borderId="17" xfId="0" applyFont="1" applyFill="1" applyBorder="1" applyAlignment="1" applyProtection="1">
      <alignment horizontal="center" vertical="center" wrapText="1"/>
      <protection locked="0"/>
    </xf>
    <xf numFmtId="0" fontId="2" fillId="3" borderId="19" xfId="0" applyFont="1" applyFill="1" applyBorder="1" applyAlignment="1" applyProtection="1">
      <alignment horizontal="center" vertical="center" wrapText="1"/>
      <protection locked="0"/>
    </xf>
    <xf numFmtId="0" fontId="2" fillId="3" borderId="18" xfId="0" applyFont="1" applyFill="1" applyBorder="1" applyAlignment="1" applyProtection="1">
      <alignment horizontal="center" vertical="center" wrapText="1"/>
      <protection locked="0"/>
    </xf>
    <xf numFmtId="0" fontId="2" fillId="6" borderId="17" xfId="0" applyFont="1" applyFill="1" applyBorder="1" applyAlignment="1" applyProtection="1">
      <alignment horizontal="center" vertical="center" wrapText="1"/>
      <protection locked="0"/>
    </xf>
    <xf numFmtId="0" fontId="2" fillId="6" borderId="18" xfId="0" applyFont="1" applyFill="1" applyBorder="1" applyAlignment="1" applyProtection="1">
      <alignment horizontal="center" vertical="center" wrapText="1"/>
      <protection locked="0"/>
    </xf>
    <xf numFmtId="0" fontId="25" fillId="6" borderId="7" xfId="0" applyFont="1" applyFill="1" applyBorder="1" applyAlignment="1" applyProtection="1">
      <alignment horizontal="center" vertical="center" wrapText="1"/>
      <protection locked="0"/>
    </xf>
    <xf numFmtId="0" fontId="25" fillId="6" borderId="2" xfId="0" applyFont="1" applyFill="1" applyBorder="1" applyAlignment="1" applyProtection="1">
      <alignment horizontal="center" vertical="top" wrapText="1"/>
      <protection locked="0"/>
    </xf>
    <xf numFmtId="0" fontId="25" fillId="6" borderId="3" xfId="0" applyFont="1" applyFill="1" applyBorder="1" applyAlignment="1" applyProtection="1">
      <alignment horizontal="center" vertical="top" wrapText="1"/>
      <protection locked="0"/>
    </xf>
    <xf numFmtId="0" fontId="0" fillId="6" borderId="7" xfId="0" applyFill="1" applyBorder="1" applyAlignment="1" applyProtection="1">
      <alignment horizontal="center" vertical="center" wrapText="1"/>
      <protection locked="0"/>
    </xf>
    <xf numFmtId="0" fontId="13" fillId="6" borderId="7" xfId="0" applyFont="1" applyFill="1" applyBorder="1" applyAlignment="1" applyProtection="1">
      <alignment horizontal="center" vertical="center" wrapText="1"/>
      <protection locked="0"/>
    </xf>
    <xf numFmtId="0" fontId="20" fillId="6" borderId="14" xfId="0" applyFont="1" applyFill="1" applyBorder="1" applyAlignment="1" applyProtection="1">
      <alignment horizontal="center" vertical="center" wrapText="1"/>
      <protection locked="0"/>
    </xf>
    <xf numFmtId="0" fontId="3" fillId="7" borderId="7" xfId="0" applyFont="1" applyFill="1" applyBorder="1" applyAlignment="1">
      <alignment horizontal="center" vertical="top"/>
    </xf>
    <xf numFmtId="0" fontId="8" fillId="7" borderId="7" xfId="0" applyFont="1" applyFill="1" applyBorder="1" applyAlignment="1">
      <alignment horizontal="left" vertical="top"/>
    </xf>
    <xf numFmtId="0" fontId="0" fillId="7" borderId="7" xfId="0" applyFill="1" applyBorder="1" applyAlignment="1">
      <alignment horizontal="left" vertical="top"/>
    </xf>
    <xf numFmtId="0" fontId="2" fillId="7" borderId="7" xfId="0" applyFont="1" applyFill="1" applyBorder="1" applyAlignment="1">
      <alignment horizontal="center" vertical="top"/>
    </xf>
    <xf numFmtId="0" fontId="25" fillId="6" borderId="7" xfId="0" applyFont="1" applyFill="1" applyBorder="1" applyAlignment="1" applyProtection="1">
      <alignment horizontal="center" vertical="center"/>
      <protection locked="0"/>
    </xf>
    <xf numFmtId="0" fontId="2" fillId="7" borderId="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8" fillId="7" borderId="12" xfId="0" applyFont="1" applyFill="1" applyBorder="1" applyAlignment="1">
      <alignment horizontal="left" vertical="center" wrapText="1"/>
    </xf>
    <xf numFmtId="0" fontId="2" fillId="7" borderId="13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8" fillId="7" borderId="41" xfId="0" applyFont="1" applyFill="1" applyBorder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8" fillId="7" borderId="38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8" fillId="7" borderId="11" xfId="0" applyFont="1" applyFill="1" applyBorder="1" applyAlignment="1">
      <alignment horizontal="left" vertical="center" wrapText="1"/>
    </xf>
    <xf numFmtId="0" fontId="8" fillId="7" borderId="7" xfId="0" applyFont="1" applyFill="1" applyBorder="1" applyAlignment="1">
      <alignment horizontal="left" vertical="center" wrapText="1"/>
    </xf>
    <xf numFmtId="0" fontId="0" fillId="6" borderId="1" xfId="0" applyFill="1" applyBorder="1" applyAlignment="1" applyProtection="1">
      <alignment horizontal="center" vertical="center" wrapText="1"/>
      <protection locked="0"/>
    </xf>
    <xf numFmtId="0" fontId="0" fillId="6" borderId="22" xfId="0" applyFill="1" applyBorder="1" applyAlignment="1" applyProtection="1">
      <alignment horizontal="center" vertical="center" wrapText="1"/>
      <protection locked="0"/>
    </xf>
    <xf numFmtId="0" fontId="0" fillId="0" borderId="18" xfId="0" applyBorder="1" applyAlignment="1">
      <alignment horizontal="center" vertical="top"/>
    </xf>
    <xf numFmtId="0" fontId="8" fillId="7" borderId="1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7" borderId="22" xfId="0" applyFont="1" applyFill="1" applyBorder="1" applyAlignment="1">
      <alignment horizontal="left" vertical="center" wrapText="1"/>
    </xf>
    <xf numFmtId="0" fontId="25" fillId="6" borderId="1" xfId="0" applyFont="1" applyFill="1" applyBorder="1" applyAlignment="1" applyProtection="1">
      <alignment horizontal="center" vertical="top" wrapText="1"/>
      <protection locked="0"/>
    </xf>
    <xf numFmtId="0" fontId="23" fillId="7" borderId="16" xfId="0" applyFont="1" applyFill="1" applyBorder="1" applyAlignment="1">
      <alignment horizontal="center" vertical="center" wrapText="1"/>
    </xf>
    <xf numFmtId="0" fontId="0" fillId="0" borderId="7" xfId="0" applyBorder="1" applyAlignment="1" applyProtection="1">
      <alignment horizontal="center" vertical="top"/>
      <protection locked="0"/>
    </xf>
    <xf numFmtId="0" fontId="27" fillId="6" borderId="17" xfId="0" applyFont="1" applyFill="1" applyBorder="1" applyAlignment="1" applyProtection="1">
      <alignment horizontal="center" vertical="center" wrapText="1"/>
      <protection locked="0"/>
    </xf>
    <xf numFmtId="0" fontId="27" fillId="6" borderId="18" xfId="0" applyFont="1" applyFill="1" applyBorder="1" applyAlignment="1" applyProtection="1">
      <alignment horizontal="center" vertical="center" wrapText="1"/>
      <protection locked="0"/>
    </xf>
    <xf numFmtId="0" fontId="4" fillId="7" borderId="0" xfId="0" applyFont="1" applyFill="1" applyAlignment="1">
      <alignment horizontal="center" vertical="center" wrapText="1"/>
    </xf>
    <xf numFmtId="0" fontId="4" fillId="7" borderId="45" xfId="0" applyFont="1" applyFill="1" applyBorder="1" applyAlignment="1">
      <alignment horizontal="center" vertical="center" wrapText="1"/>
    </xf>
    <xf numFmtId="0" fontId="29" fillId="7" borderId="4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6" borderId="2" xfId="0" applyFill="1" applyBorder="1" applyAlignment="1" applyProtection="1">
      <alignment horizontal="left" vertical="top" wrapText="1"/>
      <protection locked="0"/>
    </xf>
    <xf numFmtId="0" fontId="0" fillId="6" borderId="3" xfId="0" applyFill="1" applyBorder="1" applyAlignment="1" applyProtection="1">
      <alignment horizontal="left" vertical="top" wrapText="1"/>
      <protection locked="0"/>
    </xf>
    <xf numFmtId="0" fontId="0" fillId="6" borderId="1" xfId="0" applyFill="1" applyBorder="1" applyAlignment="1" applyProtection="1">
      <alignment horizontal="left" vertical="top" wrapText="1"/>
      <protection locked="0"/>
    </xf>
    <xf numFmtId="0" fontId="29" fillId="7" borderId="16" xfId="0" applyFont="1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6" borderId="12" xfId="0" applyFill="1" applyBorder="1" applyAlignment="1" applyProtection="1">
      <alignment horizontal="center" vertical="top" wrapText="1"/>
      <protection locked="0"/>
    </xf>
    <xf numFmtId="0" fontId="0" fillId="6" borderId="13" xfId="0" applyFill="1" applyBorder="1" applyAlignment="1" applyProtection="1">
      <alignment horizontal="center" vertical="top" wrapText="1"/>
      <protection locked="0"/>
    </xf>
    <xf numFmtId="0" fontId="0" fillId="6" borderId="15" xfId="0" applyFill="1" applyBorder="1" applyAlignment="1" applyProtection="1">
      <alignment horizontal="center" vertical="top" wrapText="1"/>
      <protection locked="0"/>
    </xf>
    <xf numFmtId="0" fontId="0" fillId="6" borderId="14" xfId="0" applyFill="1" applyBorder="1" applyAlignment="1" applyProtection="1">
      <alignment horizontal="center" vertical="top" wrapText="1"/>
      <protection locked="0"/>
    </xf>
    <xf numFmtId="0" fontId="0" fillId="6" borderId="43" xfId="0" applyFill="1" applyBorder="1" applyAlignment="1" applyProtection="1">
      <alignment horizontal="center" vertical="top" wrapText="1"/>
      <protection locked="0"/>
    </xf>
    <xf numFmtId="0" fontId="0" fillId="6" borderId="31" xfId="0" applyFill="1" applyBorder="1" applyAlignment="1" applyProtection="1">
      <alignment horizontal="center" vertical="top" wrapText="1"/>
      <protection locked="0"/>
    </xf>
    <xf numFmtId="0" fontId="0" fillId="6" borderId="21" xfId="0" applyFill="1" applyBorder="1" applyAlignment="1" applyProtection="1">
      <alignment horizontal="center" vertical="top" wrapText="1"/>
      <protection locked="0"/>
    </xf>
    <xf numFmtId="0" fontId="0" fillId="6" borderId="30" xfId="0" applyFill="1" applyBorder="1" applyAlignment="1" applyProtection="1">
      <alignment horizontal="center" vertical="top" wrapText="1"/>
      <protection locked="0"/>
    </xf>
    <xf numFmtId="0" fontId="14" fillId="6" borderId="7" xfId="0" applyFont="1" applyFill="1" applyBorder="1" applyAlignment="1" applyProtection="1">
      <alignment horizontal="center" vertical="center"/>
      <protection locked="0"/>
    </xf>
    <xf numFmtId="0" fontId="0" fillId="6" borderId="7" xfId="0" applyFill="1" applyBorder="1" applyAlignment="1" applyProtection="1">
      <alignment horizontal="center" vertical="center"/>
      <protection locked="0"/>
    </xf>
    <xf numFmtId="0" fontId="14" fillId="6" borderId="7" xfId="0" applyFont="1" applyFill="1" applyBorder="1" applyAlignment="1" applyProtection="1">
      <alignment horizontal="center" vertical="center" wrapText="1"/>
      <protection locked="0"/>
    </xf>
    <xf numFmtId="0" fontId="0" fillId="6" borderId="26" xfId="0" applyFill="1" applyBorder="1" applyAlignment="1" applyProtection="1">
      <alignment horizontal="center" vertical="center" wrapText="1"/>
      <protection locked="0"/>
    </xf>
    <xf numFmtId="0" fontId="0" fillId="7" borderId="4" xfId="0" applyFill="1" applyBorder="1" applyAlignment="1">
      <alignment horizontal="center" vertical="center" wrapText="1"/>
    </xf>
    <xf numFmtId="0" fontId="22" fillId="7" borderId="7" xfId="0" applyFont="1" applyFill="1" applyBorder="1" applyAlignment="1">
      <alignment horizontal="center" vertical="center" wrapText="1"/>
    </xf>
    <xf numFmtId="0" fontId="22" fillId="7" borderId="24" xfId="0" applyFont="1" applyFill="1" applyBorder="1" applyAlignment="1">
      <alignment horizontal="center" vertical="center" wrapText="1"/>
    </xf>
    <xf numFmtId="0" fontId="22" fillId="7" borderId="25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left" vertical="center"/>
    </xf>
    <xf numFmtId="0" fontId="3" fillId="7" borderId="7" xfId="0" applyFont="1" applyFill="1" applyBorder="1" applyAlignment="1">
      <alignment horizontal="left" vertical="center"/>
    </xf>
    <xf numFmtId="0" fontId="30" fillId="7" borderId="7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" fillId="7" borderId="33" xfId="0" applyFont="1" applyFill="1" applyBorder="1" applyAlignment="1">
      <alignment horizontal="center" vertical="center" wrapText="1"/>
    </xf>
    <xf numFmtId="0" fontId="13" fillId="6" borderId="34" xfId="0" applyFont="1" applyFill="1" applyBorder="1" applyAlignment="1" applyProtection="1">
      <alignment horizontal="center" vertical="top" wrapText="1"/>
      <protection locked="0"/>
    </xf>
    <xf numFmtId="0" fontId="13" fillId="6" borderId="1" xfId="0" applyFont="1" applyFill="1" applyBorder="1" applyAlignment="1" applyProtection="1">
      <alignment horizontal="center" vertical="top" wrapText="1"/>
      <protection locked="0"/>
    </xf>
    <xf numFmtId="0" fontId="1" fillId="7" borderId="10" xfId="0" applyFont="1" applyFill="1" applyBorder="1" applyAlignment="1">
      <alignment horizontal="left" vertical="top" wrapText="1"/>
    </xf>
    <xf numFmtId="0" fontId="1" fillId="7" borderId="8" xfId="0" applyFont="1" applyFill="1" applyBorder="1" applyAlignment="1">
      <alignment horizontal="left" vertical="top" wrapText="1"/>
    </xf>
    <xf numFmtId="0" fontId="1" fillId="7" borderId="9" xfId="0" applyFont="1" applyFill="1" applyBorder="1" applyAlignment="1">
      <alignment horizontal="left" vertical="top" wrapText="1"/>
    </xf>
    <xf numFmtId="0" fontId="8" fillId="7" borderId="17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20" fillId="6" borderId="17" xfId="0" applyFont="1" applyFill="1" applyBorder="1" applyAlignment="1" applyProtection="1">
      <alignment horizontal="center" vertical="center" wrapText="1"/>
      <protection locked="0"/>
    </xf>
    <xf numFmtId="0" fontId="20" fillId="6" borderId="19" xfId="0" applyFont="1" applyFill="1" applyBorder="1" applyAlignment="1" applyProtection="1">
      <alignment horizontal="center" vertical="center" wrapText="1"/>
      <protection locked="0"/>
    </xf>
    <xf numFmtId="0" fontId="20" fillId="6" borderId="18" xfId="0" applyFont="1" applyFill="1" applyBorder="1" applyAlignment="1" applyProtection="1">
      <alignment horizontal="center" vertical="center" wrapText="1"/>
      <protection locked="0"/>
    </xf>
    <xf numFmtId="0" fontId="0" fillId="6" borderId="17" xfId="0" applyFill="1" applyBorder="1" applyAlignment="1" applyProtection="1">
      <alignment horizontal="center" vertical="center"/>
      <protection locked="0"/>
    </xf>
    <xf numFmtId="0" fontId="0" fillId="6" borderId="19" xfId="0" applyFill="1" applyBorder="1" applyAlignment="1" applyProtection="1">
      <alignment horizontal="center" vertical="center"/>
      <protection locked="0"/>
    </xf>
    <xf numFmtId="0" fontId="0" fillId="6" borderId="18" xfId="0" applyFill="1" applyBorder="1" applyAlignment="1" applyProtection="1">
      <alignment horizontal="center" vertical="center"/>
      <protection locked="0"/>
    </xf>
    <xf numFmtId="0" fontId="1" fillId="7" borderId="7" xfId="0" applyFont="1" applyFill="1" applyBorder="1" applyAlignment="1">
      <alignment horizontal="center" vertical="top" wrapText="1"/>
    </xf>
    <xf numFmtId="0" fontId="1" fillId="7" borderId="39" xfId="0" applyFont="1" applyFill="1" applyBorder="1" applyAlignment="1">
      <alignment horizontal="center" vertical="top" wrapText="1"/>
    </xf>
    <xf numFmtId="0" fontId="1" fillId="7" borderId="40" xfId="0" applyFont="1" applyFill="1" applyBorder="1" applyAlignment="1">
      <alignment horizontal="center" vertical="top" wrapText="1"/>
    </xf>
    <xf numFmtId="0" fontId="2" fillId="7" borderId="4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2" fillId="7" borderId="11" xfId="0" applyFont="1" applyFill="1" applyBorder="1" applyAlignment="1">
      <alignment horizontal="left" vertical="center" wrapText="1"/>
    </xf>
    <xf numFmtId="0" fontId="25" fillId="6" borderId="26" xfId="0" applyFont="1" applyFill="1" applyBorder="1" applyAlignment="1" applyProtection="1">
      <alignment horizontal="center" vertical="top" wrapText="1"/>
      <protection locked="0"/>
    </xf>
    <xf numFmtId="0" fontId="25" fillId="6" borderId="7" xfId="0" applyFont="1" applyFill="1" applyBorder="1" applyAlignment="1" applyProtection="1">
      <alignment horizontal="center" vertical="top" wrapText="1"/>
      <protection locked="0"/>
    </xf>
    <xf numFmtId="0" fontId="1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8" fillId="7" borderId="17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0" fontId="20" fillId="6" borderId="17" xfId="0" applyFont="1" applyFill="1" applyBorder="1" applyAlignment="1" applyProtection="1">
      <alignment horizontal="center" vertical="center"/>
      <protection locked="0"/>
    </xf>
    <xf numFmtId="0" fontId="20" fillId="6" borderId="19" xfId="0" applyFont="1" applyFill="1" applyBorder="1" applyAlignment="1" applyProtection="1">
      <alignment horizontal="center" vertical="center"/>
      <protection locked="0"/>
    </xf>
    <xf numFmtId="0" fontId="20" fillId="6" borderId="18" xfId="0" applyFont="1" applyFill="1" applyBorder="1" applyAlignment="1" applyProtection="1">
      <alignment horizontal="center" vertical="center"/>
      <protection locked="0"/>
    </xf>
    <xf numFmtId="0" fontId="2" fillId="7" borderId="19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10" fillId="7" borderId="19" xfId="0" applyFont="1" applyFill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6" borderId="17" xfId="0" applyFont="1" applyFill="1" applyBorder="1" applyAlignment="1" applyProtection="1">
      <alignment horizontal="left"/>
      <protection locked="0"/>
    </xf>
    <xf numFmtId="0" fontId="10" fillId="6" borderId="19" xfId="0" applyFont="1" applyFill="1" applyBorder="1" applyAlignment="1" applyProtection="1">
      <alignment horizontal="left"/>
      <protection locked="0"/>
    </xf>
    <xf numFmtId="0" fontId="10" fillId="6" borderId="18" xfId="0" applyFont="1" applyFill="1" applyBorder="1" applyAlignment="1" applyProtection="1">
      <alignment horizontal="left"/>
      <protection locked="0"/>
    </xf>
    <xf numFmtId="0" fontId="8" fillId="7" borderId="17" xfId="0" applyFont="1" applyFill="1" applyBorder="1" applyAlignment="1">
      <alignment horizontal="center"/>
    </xf>
    <xf numFmtId="0" fontId="8" fillId="7" borderId="19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6" borderId="17" xfId="0" applyFont="1" applyFill="1" applyBorder="1" applyAlignment="1" applyProtection="1">
      <alignment horizontal="left"/>
      <protection locked="0"/>
    </xf>
    <xf numFmtId="0" fontId="8" fillId="6" borderId="19" xfId="0" applyFont="1" applyFill="1" applyBorder="1" applyAlignment="1" applyProtection="1">
      <alignment horizontal="left"/>
      <protection locked="0"/>
    </xf>
    <xf numFmtId="0" fontId="8" fillId="6" borderId="18" xfId="0" applyFont="1" applyFill="1" applyBorder="1" applyAlignment="1" applyProtection="1">
      <alignment horizontal="left"/>
      <protection locked="0"/>
    </xf>
    <xf numFmtId="0" fontId="8" fillId="7" borderId="17" xfId="0" applyFont="1" applyFill="1" applyBorder="1" applyAlignment="1">
      <alignment horizontal="left" vertical="center"/>
    </xf>
    <xf numFmtId="0" fontId="8" fillId="7" borderId="19" xfId="0" applyFont="1" applyFill="1" applyBorder="1" applyAlignment="1">
      <alignment horizontal="left" vertical="center"/>
    </xf>
    <xf numFmtId="0" fontId="8" fillId="7" borderId="18" xfId="0" applyFont="1" applyFill="1" applyBorder="1" applyAlignment="1">
      <alignment horizontal="left" vertical="center"/>
    </xf>
    <xf numFmtId="0" fontId="2" fillId="6" borderId="17" xfId="0" applyFont="1" applyFill="1" applyBorder="1" applyAlignment="1" applyProtection="1">
      <alignment horizontal="left" vertical="center"/>
      <protection locked="0"/>
    </xf>
    <xf numFmtId="0" fontId="2" fillId="6" borderId="19" xfId="0" applyFont="1" applyFill="1" applyBorder="1" applyAlignment="1" applyProtection="1">
      <alignment horizontal="left" vertical="center"/>
      <protection locked="0"/>
    </xf>
    <xf numFmtId="0" fontId="2" fillId="6" borderId="18" xfId="0" applyFont="1" applyFill="1" applyBorder="1" applyAlignment="1" applyProtection="1">
      <alignment horizontal="left" vertical="center"/>
      <protection locked="0"/>
    </xf>
    <xf numFmtId="0" fontId="15" fillId="7" borderId="17" xfId="0" applyFont="1" applyFill="1" applyBorder="1" applyAlignment="1">
      <alignment horizontal="left" vertical="center"/>
    </xf>
    <xf numFmtId="0" fontId="15" fillId="7" borderId="19" xfId="0" applyFont="1" applyFill="1" applyBorder="1" applyAlignment="1">
      <alignment horizontal="left" vertical="center"/>
    </xf>
    <xf numFmtId="0" fontId="15" fillId="7" borderId="18" xfId="0" applyFont="1" applyFill="1" applyBorder="1" applyAlignment="1">
      <alignment horizontal="left" vertical="center"/>
    </xf>
    <xf numFmtId="0" fontId="15" fillId="6" borderId="17" xfId="0" applyFont="1" applyFill="1" applyBorder="1" applyAlignment="1" applyProtection="1">
      <alignment horizontal="left" vertical="center"/>
      <protection locked="0"/>
    </xf>
    <xf numFmtId="0" fontId="15" fillId="6" borderId="19" xfId="0" applyFont="1" applyFill="1" applyBorder="1" applyAlignment="1" applyProtection="1">
      <alignment horizontal="left" vertical="center"/>
      <protection locked="0"/>
    </xf>
    <xf numFmtId="0" fontId="15" fillId="6" borderId="18" xfId="0" applyFont="1" applyFill="1" applyBorder="1" applyAlignment="1" applyProtection="1">
      <alignment horizontal="left" vertical="center"/>
      <protection locked="0"/>
    </xf>
    <xf numFmtId="0" fontId="21" fillId="7" borderId="7" xfId="0" applyFont="1" applyFill="1" applyBorder="1" applyAlignment="1">
      <alignment horizontal="left" vertical="top" wrapText="1"/>
    </xf>
    <xf numFmtId="0" fontId="4" fillId="7" borderId="36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4" fillId="7" borderId="35" xfId="0" applyFont="1" applyFill="1" applyBorder="1" applyAlignment="1">
      <alignment horizontal="center" vertical="center" wrapText="1"/>
    </xf>
    <xf numFmtId="0" fontId="25" fillId="6" borderId="34" xfId="0" applyFont="1" applyFill="1" applyBorder="1" applyAlignment="1" applyProtection="1">
      <alignment horizontal="center" vertical="top" wrapText="1"/>
      <protection locked="0"/>
    </xf>
    <xf numFmtId="0" fontId="25" fillId="6" borderId="12" xfId="0" applyFont="1" applyFill="1" applyBorder="1" applyAlignment="1" applyProtection="1">
      <alignment horizontal="center" vertical="top" wrapText="1"/>
      <protection locked="0"/>
    </xf>
    <xf numFmtId="0" fontId="25" fillId="6" borderId="13" xfId="0" applyFont="1" applyFill="1" applyBorder="1" applyAlignment="1" applyProtection="1">
      <alignment horizontal="center" vertical="top" wrapText="1"/>
      <protection locked="0"/>
    </xf>
    <xf numFmtId="0" fontId="25" fillId="6" borderId="15" xfId="0" applyFont="1" applyFill="1" applyBorder="1" applyAlignment="1" applyProtection="1">
      <alignment horizontal="center" vertical="top" wrapText="1"/>
      <protection locked="0"/>
    </xf>
    <xf numFmtId="0" fontId="4" fillId="7" borderId="23" xfId="0" applyFont="1" applyFill="1" applyBorder="1" applyAlignment="1">
      <alignment horizontal="center" vertical="center" wrapText="1"/>
    </xf>
    <xf numFmtId="0" fontId="4" fillId="7" borderId="24" xfId="0" applyFont="1" applyFill="1" applyBorder="1" applyAlignment="1">
      <alignment horizontal="center" vertical="center" wrapText="1"/>
    </xf>
    <xf numFmtId="0" fontId="4" fillId="7" borderId="25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left" vertical="top"/>
    </xf>
    <xf numFmtId="0" fontId="3" fillId="7" borderId="7" xfId="0" applyFont="1" applyFill="1" applyBorder="1" applyAlignment="1">
      <alignment horizontal="left" vertical="top"/>
    </xf>
    <xf numFmtId="0" fontId="0" fillId="6" borderId="34" xfId="0" applyFill="1" applyBorder="1" applyAlignment="1" applyProtection="1">
      <alignment horizontal="center" vertical="center" wrapText="1"/>
      <protection locked="0"/>
    </xf>
    <xf numFmtId="0" fontId="0" fillId="6" borderId="2" xfId="0" applyFill="1" applyBorder="1" applyAlignment="1" applyProtection="1">
      <alignment horizontal="center" vertical="center" wrapText="1"/>
      <protection locked="0"/>
    </xf>
    <xf numFmtId="0" fontId="0" fillId="6" borderId="3" xfId="0" applyFill="1" applyBorder="1" applyAlignment="1" applyProtection="1">
      <alignment horizontal="center" vertical="center" wrapText="1"/>
      <protection locked="0"/>
    </xf>
    <xf numFmtId="0" fontId="13" fillId="6" borderId="2" xfId="0" applyFont="1" applyFill="1" applyBorder="1" applyAlignment="1" applyProtection="1">
      <alignment horizontal="center" vertical="top" wrapText="1"/>
      <protection locked="0"/>
    </xf>
    <xf numFmtId="0" fontId="2" fillId="7" borderId="7" xfId="0" applyFont="1" applyFill="1" applyBorder="1" applyAlignment="1">
      <alignment horizontal="left" vertical="top"/>
    </xf>
    <xf numFmtId="0" fontId="2" fillId="6" borderId="7" xfId="0" applyFont="1" applyFill="1" applyBorder="1" applyAlignment="1" applyProtection="1">
      <alignment horizontal="left" vertical="top" wrapText="1"/>
      <protection locked="0"/>
    </xf>
    <xf numFmtId="0" fontId="5" fillId="7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 applyProtection="1">
      <alignment horizontal="center" vertical="center" wrapText="1"/>
      <protection locked="0"/>
    </xf>
    <xf numFmtId="0" fontId="0" fillId="6" borderId="12" xfId="0" applyFill="1" applyBorder="1" applyAlignment="1" applyProtection="1">
      <alignment horizontal="center" vertical="center" wrapText="1"/>
      <protection locked="0"/>
    </xf>
    <xf numFmtId="0" fontId="0" fillId="6" borderId="13" xfId="0" applyFill="1" applyBorder="1" applyAlignment="1" applyProtection="1">
      <alignment horizontal="center" vertical="center" wrapText="1"/>
      <protection locked="0"/>
    </xf>
    <xf numFmtId="0" fontId="0" fillId="6" borderId="15" xfId="0" applyFill="1" applyBorder="1" applyAlignment="1" applyProtection="1">
      <alignment horizontal="center" vertical="center" wrapText="1"/>
      <protection locked="0"/>
    </xf>
    <xf numFmtId="0" fontId="1" fillId="7" borderId="17" xfId="0" applyFont="1" applyFill="1" applyBorder="1" applyAlignment="1">
      <alignment horizontal="left" vertical="center"/>
    </xf>
    <xf numFmtId="0" fontId="5" fillId="7" borderId="19" xfId="0" applyFont="1" applyFill="1" applyBorder="1" applyAlignment="1">
      <alignment horizontal="left" vertical="center"/>
    </xf>
    <xf numFmtId="0" fontId="5" fillId="7" borderId="18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20" fillId="6" borderId="19" xfId="0" applyFont="1" applyFill="1" applyBorder="1" applyAlignment="1" applyProtection="1">
      <alignment horizontal="center" vertical="top" wrapText="1"/>
      <protection locked="0"/>
    </xf>
    <xf numFmtId="0" fontId="20" fillId="6" borderId="18" xfId="0" applyFont="1" applyFill="1" applyBorder="1" applyAlignment="1" applyProtection="1">
      <alignment horizontal="center" vertical="top" wrapText="1"/>
      <protection locked="0"/>
    </xf>
    <xf numFmtId="9" fontId="0" fillId="0" borderId="7" xfId="0" applyNumberFormat="1" applyBorder="1" applyAlignment="1">
      <alignment horizontal="center" vertical="top"/>
    </xf>
    <xf numFmtId="0" fontId="23" fillId="7" borderId="7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44" xfId="0" applyFont="1" applyFill="1" applyBorder="1" applyAlignment="1">
      <alignment horizontal="center" vertical="center" wrapText="1"/>
    </xf>
    <xf numFmtId="0" fontId="1" fillId="7" borderId="26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 applyProtection="1">
      <alignment horizontal="center" vertical="center" wrapText="1"/>
      <protection locked="0"/>
    </xf>
    <xf numFmtId="0" fontId="1" fillId="6" borderId="19" xfId="0" applyFont="1" applyFill="1" applyBorder="1" applyAlignment="1" applyProtection="1">
      <alignment horizontal="center" vertical="center" wrapText="1"/>
      <protection locked="0"/>
    </xf>
    <xf numFmtId="0" fontId="1" fillId="6" borderId="18" xfId="0" applyFont="1" applyFill="1" applyBorder="1" applyAlignment="1" applyProtection="1">
      <alignment horizontal="center" vertical="center" wrapText="1"/>
      <protection locked="0"/>
    </xf>
    <xf numFmtId="0" fontId="0" fillId="6" borderId="12" xfId="0" applyFill="1" applyBorder="1" applyAlignment="1" applyProtection="1">
      <alignment horizontal="left" vertical="top" wrapText="1"/>
      <protection locked="0"/>
    </xf>
    <xf numFmtId="0" fontId="0" fillId="6" borderId="13" xfId="0" applyFill="1" applyBorder="1" applyAlignment="1" applyProtection="1">
      <alignment horizontal="left" vertical="top" wrapText="1"/>
      <protection locked="0"/>
    </xf>
    <xf numFmtId="0" fontId="13" fillId="6" borderId="1" xfId="0" applyFont="1" applyFill="1" applyBorder="1" applyAlignment="1" applyProtection="1">
      <alignment horizontal="center" vertical="center" wrapText="1"/>
      <protection locked="0"/>
    </xf>
    <xf numFmtId="0" fontId="20" fillId="6" borderId="7" xfId="0" applyFont="1" applyFill="1" applyBorder="1" applyAlignment="1" applyProtection="1">
      <alignment horizontal="center" vertical="top" wrapText="1"/>
      <protection locked="0"/>
    </xf>
    <xf numFmtId="0" fontId="9" fillId="7" borderId="7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22" fillId="7" borderId="24" xfId="0" applyFont="1" applyFill="1" applyBorder="1" applyAlignment="1">
      <alignment horizontal="center" vertical="center"/>
    </xf>
    <xf numFmtId="0" fontId="22" fillId="7" borderId="42" xfId="0" applyFont="1" applyFill="1" applyBorder="1" applyAlignment="1">
      <alignment horizontal="center" vertical="center"/>
    </xf>
    <xf numFmtId="0" fontId="22" fillId="7" borderId="16" xfId="0" applyFont="1" applyFill="1" applyBorder="1" applyAlignment="1">
      <alignment horizontal="center" vertical="center" wrapText="1"/>
    </xf>
    <xf numFmtId="0" fontId="0" fillId="6" borderId="15" xfId="0" applyFill="1" applyBorder="1" applyAlignment="1" applyProtection="1">
      <alignment horizontal="left" vertical="top" wrapText="1"/>
      <protection locked="0"/>
    </xf>
  </cellXfs>
  <cellStyles count="2">
    <cellStyle name="Normal" xfId="0" builtinId="0"/>
    <cellStyle name="Normal 2" xfId="1" xr:uid="{00000000-0005-0000-0000-000002000000}"/>
  </cellStyles>
  <dxfs count="8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123825</xdr:colOff>
          <xdr:row>6</xdr:row>
          <xdr:rowOff>19050</xdr:rowOff>
        </xdr:from>
        <xdr:to>
          <xdr:col>17</xdr:col>
          <xdr:colOff>171450</xdr:colOff>
          <xdr:row>7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85725</xdr:colOff>
          <xdr:row>6</xdr:row>
          <xdr:rowOff>19050</xdr:rowOff>
        </xdr:from>
        <xdr:to>
          <xdr:col>23</xdr:col>
          <xdr:colOff>333375</xdr:colOff>
          <xdr:row>7</xdr:row>
          <xdr:rowOff>38100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GESTIÓNESTRATÉGICA" displayName="GESTIÓNESTRATÉGICA" ref="B1:B7" totalsRowShown="0" headerRowDxfId="839" dataDxfId="837" headerRowBorderDxfId="838" tableBorderDxfId="836" totalsRowBorderDxfId="835">
  <autoFilter ref="B1:B7" xr:uid="{00000000-0009-0000-0100-000008000000}"/>
  <tableColumns count="1">
    <tableColumn id="1" xr3:uid="{00000000-0010-0000-0000-000001000000}" name="GestiónEstratégica" dataDxfId="8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1000000}" name="ARTES" displayName="ARTES" ref="A19:A25" totalsRowShown="0" headerRowDxfId="833" dataDxfId="832">
  <autoFilter ref="A19:A25" xr:uid="{00000000-0009-0000-0100-00000B000000}"/>
  <tableColumns count="1">
    <tableColumn id="1" xr3:uid="{00000000-0010-0000-0100-000001000000}" name="ARTES " dataDxfId="83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FACA" displayName="FACA" ref="B19:B24" totalsRowShown="0" headerRowDxfId="830" dataDxfId="829">
  <autoFilter ref="B19:B24" xr:uid="{00000000-0009-0000-0100-00000C000000}"/>
  <tableColumns count="1">
    <tableColumn id="1" xr3:uid="{00000000-0010-0000-0200-000001000000}" name="FACA" dataDxfId="82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SALUD" displayName="SALUD" ref="C19:C36" totalsRowShown="0" headerRowDxfId="827" dataDxfId="825" headerRowBorderDxfId="826" tableBorderDxfId="824" totalsRowBorderDxfId="823">
  <autoFilter ref="C19:C36" xr:uid="{00000000-0009-0000-0100-000002000000}"/>
  <tableColumns count="1">
    <tableColumn id="1" xr3:uid="{00000000-0010-0000-0300-000001000000}" name="SALUD" dataDxfId="82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TABLES" displayName="CONTABLES" ref="D19:D35" totalsRowShown="0" headerRowDxfId="821" dataDxfId="819" headerRowBorderDxfId="820" tableBorderDxfId="818" totalsRowBorderDxfId="817">
  <autoFilter ref="D19:D35" xr:uid="{00000000-0009-0000-0100-000005000000}"/>
  <tableColumns count="1">
    <tableColumn id="1" xr3:uid="{00000000-0010-0000-0400-000001000000}" name="CONTABLES" dataDxfId="81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HUMANAS" displayName="HUMANAS" ref="E18:E36" totalsRowShown="0" headerRowDxfId="815" dataDxfId="813" headerRowBorderDxfId="814" tableBorderDxfId="812" totalsRowBorderDxfId="811">
  <autoFilter ref="E18:E36" xr:uid="{00000000-0009-0000-0100-000006000000}"/>
  <tableColumns count="1">
    <tableColumn id="1" xr3:uid="{00000000-0010-0000-0500-000001000000}" name="HUMANAS" dataDxfId="81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DERECHO" displayName="DERECHO" ref="F19:F27" totalsRowShown="0" headerRowDxfId="809" dataDxfId="807" headerRowBorderDxfId="808" tableBorderDxfId="806" totalsRowBorderDxfId="805">
  <autoFilter ref="F19:F27" xr:uid="{00000000-0009-0000-0100-000009000000}"/>
  <tableColumns count="1">
    <tableColumn id="1" xr3:uid="{00000000-0010-0000-0600-000001000000}" name="DERECHO" dataDxfId="804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CIVIL" displayName="CIVIL" ref="G19:G27" totalsRowShown="0" headerRowDxfId="803" dataDxfId="801" headerRowBorderDxfId="802" tableBorderDxfId="800" totalsRowBorderDxfId="799">
  <autoFilter ref="G19:G27" xr:uid="{00000000-0009-0000-0100-00000D000000}"/>
  <tableColumns count="1">
    <tableColumn id="1" xr3:uid="{00000000-0010-0000-0700-000001000000}" name="CIVIL" dataDxfId="798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8000000}" name="FIET" displayName="FIET" ref="H19:H32" totalsRowShown="0" headerRowDxfId="797" dataDxfId="795" headerRowBorderDxfId="796" tableBorderDxfId="794" totalsRowBorderDxfId="793">
  <autoFilter ref="H19:H32" xr:uid="{00000000-0009-0000-0100-00000E000000}"/>
  <tableColumns count="1">
    <tableColumn id="1" xr3:uid="{00000000-0010-0000-0800-000001000000}" name="FIET" dataDxfId="79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9000000}" name="GestiónAcadémica" displayName="GestiónAcadémica" ref="A1:A14" totalsRowShown="0" headerRowDxfId="791" dataDxfId="789" headerRowBorderDxfId="790" tableBorderDxfId="788" totalsRowBorderDxfId="787">
  <autoFilter ref="A1:A14" xr:uid="{00000000-0009-0000-0100-000007000000}"/>
  <tableColumns count="1">
    <tableColumn id="1" xr3:uid="{00000000-0010-0000-0900-000001000000}" name="GestiónAcadémica" dataDxfId="78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A000000}" name="GestiónAdministrativa" displayName="GestiónAdministrativa" ref="C1:C7" totalsRowShown="0" headerRowDxfId="785" dataDxfId="783" headerRowBorderDxfId="784" tableBorderDxfId="782" totalsRowBorderDxfId="781">
  <autoFilter ref="C1:C7" xr:uid="{00000000-0009-0000-0100-00000F000000}"/>
  <tableColumns count="1">
    <tableColumn id="1" xr3:uid="{00000000-0010-0000-0A00-000001000000}" name="GestiónAdministrativa" dataDxfId="780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B000000}" name="GestiónDeLaInvestigación" displayName="GestiónDeLaInvestigación" ref="D1:D4" totalsRowShown="0" headerRowDxfId="779" dataDxfId="777" headerRowBorderDxfId="778" tableBorderDxfId="776" totalsRowBorderDxfId="775">
  <autoFilter ref="D1:D4" xr:uid="{00000000-0009-0000-0100-000010000000}"/>
  <tableColumns count="1">
    <tableColumn id="1" xr3:uid="{00000000-0010-0000-0B00-000001000000}" name="GestiónDeLaInvestigación" dataDxfId="774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C000000}" name="GestiónDeLaCultura" displayName="GestiónDeLaCultura" ref="E1:E6" totalsRowShown="0" headerRowDxfId="773" dataDxfId="771" headerRowBorderDxfId="772" tableBorderDxfId="770" totalsRowBorderDxfId="769">
  <autoFilter ref="E1:E6" xr:uid="{00000000-0009-0000-0100-000011000000}"/>
  <tableColumns count="1">
    <tableColumn id="1" xr3:uid="{00000000-0010-0000-0C00-000001000000}" name="GestiónDeLaCultura" dataDxfId="768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D000000}" name="GestiónDelControl" displayName="GestiónDelControl" ref="F1:F2" totalsRowShown="0" headerRowDxfId="767" dataDxfId="765" headerRowBorderDxfId="766" tableBorderDxfId="764" totalsRowBorderDxfId="763">
  <autoFilter ref="F1:F2" xr:uid="{00000000-0009-0000-0100-000012000000}"/>
  <tableColumns count="1">
    <tableColumn id="1" xr3:uid="{00000000-0010-0000-0D00-000001000000}" name="GestiónDelControl" dataDxfId="762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E000000}" name="FACNED" displayName="FACNED" ref="I19:I40" totalsRowShown="0" headerRowDxfId="761" dataDxfId="759" headerRowBorderDxfId="760" tableBorderDxfId="758" totalsRowBorderDxfId="757">
  <autoFilter ref="I19:I40" xr:uid="{00000000-0009-0000-0100-000001000000}"/>
  <tableColumns count="1">
    <tableColumn id="1" xr3:uid="{00000000-0010-0000-0E00-000001000000}" name="FACNED" dataDxfId="756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10000000}" name="ISO14001." displayName="ISO14001." ref="C11:C18" totalsRowShown="0" headerRowDxfId="755" dataDxfId="753" headerRowBorderDxfId="754" tableBorderDxfId="752" totalsRowBorderDxfId="751">
  <autoFilter ref="C11:C18" xr:uid="{00000000-0009-0000-0100-0000B6000000}"/>
  <tableColumns count="1">
    <tableColumn id="1" xr3:uid="{00000000-0010-0000-1000-000001000000}" name="ISO14001." dataDxfId="750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11000000}" name="Capítulo4" displayName="Capítulo4" ref="C22:C26" totalsRowShown="0" headerRowDxfId="749" dataDxfId="747" headerRowBorderDxfId="748" tableBorderDxfId="746" totalsRowBorderDxfId="745">
  <autoFilter ref="C22:C26" xr:uid="{00000000-0009-0000-0100-0000B7000000}"/>
  <tableColumns count="1">
    <tableColumn id="1" xr3:uid="{00000000-0010-0000-1100-000001000000}" name="Capítulo4" dataDxfId="744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12000000}" name="Sub4.2" displayName="Sub4.2" ref="C29:C32" totalsRowShown="0" headerRowDxfId="743" dataDxfId="741" headerRowBorderDxfId="742" tableBorderDxfId="740" totalsRowBorderDxfId="739">
  <autoFilter ref="C29:C32" xr:uid="{00000000-0009-0000-0100-0000B8000000}"/>
  <tableColumns count="1">
    <tableColumn id="1" xr3:uid="{00000000-0010-0000-1200-000001000000}" name="Sub4.2" dataDxfId="738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13000000}" name="Sub4.3" displayName="Sub4.3" ref="C35:C40" totalsRowShown="0" headerRowDxfId="737" dataDxfId="735" headerRowBorderDxfId="736" tableBorderDxfId="734" totalsRowBorderDxfId="733">
  <autoFilter ref="C35:C40" xr:uid="{00000000-0009-0000-0100-0000B9000000}"/>
  <tableColumns count="1">
    <tableColumn id="1" xr3:uid="{00000000-0010-0000-1300-000001000000}" name="Sub4.3" dataDxfId="732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14000000}" name="Capítulo5" displayName="Capítulo5" ref="E22:E25" totalsRowShown="0" headerRowDxfId="731" dataDxfId="729" headerRowBorderDxfId="730" tableBorderDxfId="728" totalsRowBorderDxfId="727">
  <autoFilter ref="E22:E25" xr:uid="{00000000-0009-0000-0100-0000BA000000}"/>
  <tableColumns count="1">
    <tableColumn id="1" xr3:uid="{00000000-0010-0000-1400-000001000000}" name="Capítulo5" dataDxfId="726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15000000}" name="Sub5.2" displayName="Sub5.2" ref="E41:E46" totalsRowShown="0" headerRowDxfId="725" dataDxfId="723" headerRowBorderDxfId="724" tableBorderDxfId="722" totalsRowBorderDxfId="721">
  <autoFilter ref="E41:E46" xr:uid="{00000000-0009-0000-0100-0000BB000000}"/>
  <tableColumns count="1">
    <tableColumn id="1" xr3:uid="{00000000-0010-0000-1500-000001000000}" name="Sub5.2" dataDxfId="720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16000000}" name="Sub5.3" displayName="Sub5.3" ref="E49:E51" totalsRowShown="0" headerRowDxfId="719" dataDxfId="717" headerRowBorderDxfId="718" tableBorderDxfId="716" totalsRowBorderDxfId="715">
  <autoFilter ref="E49:E51" xr:uid="{00000000-0009-0000-0100-0000BC000000}"/>
  <tableColumns count="1">
    <tableColumn id="1" xr3:uid="{00000000-0010-0000-1600-000001000000}" name="Sub5.3" dataDxfId="714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17000000}" name="Capítulo6" displayName="Capítulo6" ref="G22:G24" totalsRowShown="0" headerRowDxfId="713" dataDxfId="711" headerRowBorderDxfId="712" tableBorderDxfId="710" totalsRowBorderDxfId="709">
  <autoFilter ref="G22:G24" xr:uid="{00000000-0009-0000-0100-0000BD000000}"/>
  <tableColumns count="1">
    <tableColumn id="1" xr3:uid="{00000000-0010-0000-1700-000001000000}" name="Capítulo6" dataDxfId="708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18000000}" name="Sub6.1" displayName="Sub6.1" ref="G29:G33" totalsRowShown="0" headerRowDxfId="707" dataDxfId="705" headerRowBorderDxfId="706" tableBorderDxfId="704" totalsRowBorderDxfId="703">
  <autoFilter ref="G29:G33" xr:uid="{00000000-0009-0000-0100-0000BE000000}"/>
  <tableColumns count="1">
    <tableColumn id="1" xr3:uid="{00000000-0010-0000-1800-000001000000}" name="Sub6.1" dataDxfId="702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19000000}" name="Sub6.1.1" displayName="Sub6.1.1" ref="G36:G39" totalsRowShown="0" headerRowDxfId="701" dataDxfId="699" headerRowBorderDxfId="700" tableBorderDxfId="698" totalsRowBorderDxfId="697">
  <autoFilter ref="G36:G39" xr:uid="{00000000-0009-0000-0100-0000BF000000}"/>
  <tableColumns count="1">
    <tableColumn id="1" xr3:uid="{00000000-0010-0000-1900-000001000000}" name="Sub6.1.1" dataDxfId="696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1A000000}" name="Sub6.1.2" displayName="Sub6.1.2" ref="G42:G44" totalsRowShown="0" headerRowDxfId="695" dataDxfId="693" headerRowBorderDxfId="694" tableBorderDxfId="692" totalsRowBorderDxfId="691">
  <autoFilter ref="G42:G44" xr:uid="{00000000-0009-0000-0100-000003000000}"/>
  <tableColumns count="1">
    <tableColumn id="1" xr3:uid="{00000000-0010-0000-1A00-000001000000}" name="Sub6.1.2" dataDxfId="690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B000000}" name="Sub6.1.3" displayName="Sub6.1.3" ref="G47:G50" totalsRowShown="0" headerRowDxfId="689" dataDxfId="687" headerRowBorderDxfId="688" tableBorderDxfId="686" totalsRowBorderDxfId="685">
  <autoFilter ref="G47:G50" xr:uid="{00000000-0009-0000-0100-000004000000}"/>
  <tableColumns count="1">
    <tableColumn id="1" xr3:uid="{00000000-0010-0000-1B00-000001000000}" name="Sub6.1.3" dataDxfId="684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C000000}" name="Sub6.1.4" displayName="Sub6.1.4" ref="G53:G55" totalsRowShown="0" headerRowDxfId="683" dataDxfId="681" headerRowBorderDxfId="682" tableBorderDxfId="680" totalsRowBorderDxfId="679">
  <autoFilter ref="G53:G55" xr:uid="{00000000-0009-0000-0100-00000A000000}"/>
  <tableColumns count="1">
    <tableColumn id="1" xr3:uid="{00000000-0010-0000-1C00-000001000000}" name="Sub6.1.4" dataDxfId="678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1D000000}" name="Sub6.2" displayName="Sub6.2" ref="G58:G60" totalsRowShown="0" headerRowDxfId="677" dataDxfId="675" headerRowBorderDxfId="676" tableBorderDxfId="674" totalsRowBorderDxfId="673">
  <autoFilter ref="G58:G60" xr:uid="{00000000-0009-0000-0100-000069000000}"/>
  <tableColumns count="1">
    <tableColumn id="1" xr3:uid="{00000000-0010-0000-1D00-000001000000}" name="Sub6.2" dataDxfId="672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1E000000}" name="Sub6.2.1" displayName="Sub6.2.1" ref="G63:G68" totalsRowShown="0" headerRowDxfId="671" dataDxfId="669" headerRowBorderDxfId="670" tableBorderDxfId="668" totalsRowBorderDxfId="667">
  <autoFilter ref="G63:G68" xr:uid="{00000000-0009-0000-0100-00006A000000}"/>
  <tableColumns count="1">
    <tableColumn id="1" xr3:uid="{00000000-0010-0000-1E00-000001000000}" name="Sub6.2.1" dataDxfId="666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1F000000}" name="Sub4.3105186188107108" displayName="Sub4.3105186188107108" ref="G71:G76" totalsRowShown="0" headerRowDxfId="665" dataDxfId="663" headerRowBorderDxfId="664" tableBorderDxfId="662" totalsRowBorderDxfId="661">
  <autoFilter ref="G71:G76" xr:uid="{00000000-0009-0000-0100-00006B000000}"/>
  <tableColumns count="1">
    <tableColumn id="1" xr3:uid="{00000000-0010-0000-1F00-000001000000}" name="Sub6.2.2" dataDxfId="660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20000000}" name="Capítulo7" displayName="Capítulo7" ref="I22:I27" totalsRowShown="0" headerRowDxfId="659" dataDxfId="657" headerRowBorderDxfId="658" tableBorderDxfId="656" totalsRowBorderDxfId="655">
  <autoFilter ref="I22:I27" xr:uid="{00000000-0009-0000-0100-00006D000000}"/>
  <tableColumns count="1">
    <tableColumn id="1" xr3:uid="{00000000-0010-0000-2000-000001000000}" name="Capítulo7" dataDxfId="654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21000000}" name="Sub7.2" displayName="Sub7.2" ref="I30:I34" totalsRowShown="0" headerRowDxfId="653" dataDxfId="651" headerRowBorderDxfId="652" tableBorderDxfId="650" totalsRowBorderDxfId="649">
  <autoFilter ref="I30:I34" xr:uid="{00000000-0009-0000-0100-0000C0000000}"/>
  <tableColumns count="1">
    <tableColumn id="1" xr3:uid="{00000000-0010-0000-2100-000001000000}" name="Sub7.2" dataDxfId="648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22000000}" name="Sub7.3" displayName="Sub7.3" ref="I37:I41" totalsRowShown="0" headerRowDxfId="647" dataDxfId="645" headerRowBorderDxfId="646" tableBorderDxfId="644" totalsRowBorderDxfId="643">
  <autoFilter ref="I37:I41" xr:uid="{00000000-0009-0000-0100-0000C1000000}"/>
  <tableColumns count="1">
    <tableColumn id="1" xr3:uid="{00000000-0010-0000-2200-000001000000}" name="Sub7.3" dataDxfId="642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23000000}" name="Sub7.4" displayName="Sub7.4" ref="I44:I47" totalsRowShown="0" headerRowDxfId="641" dataDxfId="639" headerRowBorderDxfId="640" tableBorderDxfId="638" totalsRowBorderDxfId="637">
  <autoFilter ref="I44:I47" xr:uid="{00000000-0009-0000-0100-0000C3000000}"/>
  <tableColumns count="1">
    <tableColumn id="1" xr3:uid="{00000000-0010-0000-2300-000001000000}" name="Sub7.4" dataDxfId="636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24000000}" name="Sub7.4.1" displayName="Sub7.4.1" ref="I50:I54" totalsRowShown="0" headerRowDxfId="635" dataDxfId="633" headerRowBorderDxfId="634" tableBorderDxfId="632" totalsRowBorderDxfId="631">
  <autoFilter ref="I50:I54" xr:uid="{00000000-0009-0000-0100-0000C4000000}"/>
  <tableColumns count="1">
    <tableColumn id="1" xr3:uid="{00000000-0010-0000-2400-000001000000}" name="Sub7.4.1" dataDxfId="630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25000000}" name="Sub7.4.2" displayName="Sub7.4.2" ref="I57:I59" totalsRowShown="0" headerRowDxfId="629" dataDxfId="627" headerRowBorderDxfId="628" tableBorderDxfId="626" totalsRowBorderDxfId="625">
  <autoFilter ref="I57:I59" xr:uid="{00000000-0009-0000-0100-0000C5000000}"/>
  <tableColumns count="1">
    <tableColumn id="1" xr3:uid="{00000000-0010-0000-2500-000001000000}" name="Sub7.4.2" dataDxfId="624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26000000}" name="Sub7.5" displayName="Sub7.5" ref="I62:I65" totalsRowShown="0" headerRowDxfId="623" dataDxfId="621" headerRowBorderDxfId="622" tableBorderDxfId="620" totalsRowBorderDxfId="619">
  <autoFilter ref="I62:I65" xr:uid="{00000000-0009-0000-0100-0000C6000000}"/>
  <tableColumns count="1">
    <tableColumn id="1" xr3:uid="{00000000-0010-0000-2600-000001000000}" name="Sub7.5" dataDxfId="618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27000000}" name="Sub7.5.1" displayName="Sub7.5.1" ref="I68:I70" totalsRowShown="0" headerRowDxfId="617" dataDxfId="615" headerRowBorderDxfId="616" tableBorderDxfId="614" totalsRowBorderDxfId="613">
  <autoFilter ref="I68:I70" xr:uid="{00000000-0009-0000-0100-0000C7000000}"/>
  <tableColumns count="1">
    <tableColumn id="1" xr3:uid="{00000000-0010-0000-2700-000001000000}" name="Sub7.5.1" dataDxfId="612"/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28000000}" name="Sub7.5.2" displayName="Sub7.5.2" ref="I73:I76" totalsRowShown="0" headerRowDxfId="611" dataDxfId="609" headerRowBorderDxfId="610" tableBorderDxfId="608" totalsRowBorderDxfId="607">
  <autoFilter ref="I73:I76" xr:uid="{00000000-0009-0000-0100-0000C8000000}"/>
  <tableColumns count="1">
    <tableColumn id="1" xr3:uid="{00000000-0010-0000-2800-000001000000}" name="Sub7.5.2" dataDxfId="606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29000000}" name="Sub7.5.3" displayName="Sub7.5.3" ref="I79:I81" totalsRowShown="0" headerRowDxfId="605" dataDxfId="603" headerRowBorderDxfId="604" tableBorderDxfId="602" totalsRowBorderDxfId="601">
  <autoFilter ref="I79:I81" xr:uid="{00000000-0009-0000-0100-0000C9000000}"/>
  <tableColumns count="1">
    <tableColumn id="1" xr3:uid="{00000000-0010-0000-2900-000001000000}" name="Sub7.5.3" dataDxfId="600"/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2A000000}" name="Capítulo8" displayName="Capítulo8" ref="K22:K24" totalsRowShown="0" headerRowDxfId="599" dataDxfId="597" headerRowBorderDxfId="598" tableBorderDxfId="596" totalsRowBorderDxfId="595">
  <autoFilter ref="K22:K24" xr:uid="{00000000-0009-0000-0100-0000CA000000}"/>
  <tableColumns count="1">
    <tableColumn id="1" xr3:uid="{00000000-0010-0000-2A00-000001000000}" name="Capítulo8" dataDxfId="594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2B000000}" name="Sub8.1" displayName="Sub8.1" ref="K27:K31" totalsRowShown="0" headerRowDxfId="593" dataDxfId="591" headerRowBorderDxfId="592" tableBorderDxfId="590" totalsRowBorderDxfId="589">
  <autoFilter ref="K27:K31" xr:uid="{00000000-0009-0000-0100-0000CB000000}"/>
  <tableColumns count="1">
    <tableColumn id="1" xr3:uid="{00000000-0010-0000-2B00-000001000000}" name="Sub8.1" dataDxfId="588"/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2C000000}" name="Sub8.2" displayName="Sub8.2" ref="K34:K40" totalsRowShown="0" headerRowDxfId="587" dataDxfId="585" headerRowBorderDxfId="586" tableBorderDxfId="584" totalsRowBorderDxfId="583">
  <autoFilter ref="K34:K40" xr:uid="{00000000-0009-0000-0100-0000CC000000}"/>
  <tableColumns count="1">
    <tableColumn id="1" xr3:uid="{00000000-0010-0000-2C00-000001000000}" name="Sub8.2" dataDxfId="582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0000000-000C-0000-FFFF-FFFF2D000000}" name="Capítulo9" displayName="Capítulo9" ref="M22:M25" totalsRowShown="0" headerRowDxfId="581" dataDxfId="579" headerRowBorderDxfId="580" tableBorderDxfId="578" totalsRowBorderDxfId="577">
  <autoFilter ref="M22:M25" xr:uid="{00000000-0009-0000-0100-0000CD000000}"/>
  <tableColumns count="1">
    <tableColumn id="1" xr3:uid="{00000000-0010-0000-2D00-000001000000}" name="Capítulo9" dataDxfId="576"/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00000000-000C-0000-FFFF-FFFF2E000000}" name="Sub9.1" displayName="Sub9.1" ref="M28:M30" totalsRowShown="0" headerRowDxfId="575" dataDxfId="573" headerRowBorderDxfId="574" tableBorderDxfId="572" totalsRowBorderDxfId="571">
  <autoFilter ref="M28:M30" xr:uid="{00000000-0009-0000-0100-0000CE000000}"/>
  <tableColumns count="1">
    <tableColumn id="1" xr3:uid="{00000000-0010-0000-2E00-000001000000}" name="Sub9.1" dataDxfId="570"/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00000000-000C-0000-FFFF-FFFF2F000000}" name="Sub9.2" displayName="Sub9.2" ref="M47:M49" totalsRowShown="0" headerRowDxfId="569" dataDxfId="567" headerRowBorderDxfId="568" tableBorderDxfId="566" totalsRowBorderDxfId="565">
  <autoFilter ref="M47:M49" xr:uid="{00000000-0009-0000-0100-0000CF000000}"/>
  <tableColumns count="1">
    <tableColumn id="1" xr3:uid="{00000000-0010-0000-2F00-000001000000}" name="Sub9.2" dataDxfId="564"/>
  </tableColumns>
  <tableStyleInfo name="TableStyleMedium9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00000000-000C-0000-FFFF-FFFF30000000}" name="Sub9.1.1" displayName="Sub9.1.1" ref="M33:M38" totalsRowShown="0" headerRowDxfId="563" dataDxfId="561" headerRowBorderDxfId="562" tableBorderDxfId="560" totalsRowBorderDxfId="559">
  <autoFilter ref="M33:M38" xr:uid="{00000000-0009-0000-0100-0000D0000000}"/>
  <tableColumns count="1">
    <tableColumn id="1" xr3:uid="{00000000-0010-0000-3000-000001000000}" name="Sub9.1.1" dataDxfId="558"/>
  </tableColumns>
  <tableStyleInfo name="TableStyleMedium9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0000000-000C-0000-FFFF-FFFF31000000}" name="Sub9.1.2" displayName="Sub9.1.2" ref="M41:M44" totalsRowShown="0" headerRowDxfId="557" dataDxfId="555" headerRowBorderDxfId="556" tableBorderDxfId="554" totalsRowBorderDxfId="553">
  <autoFilter ref="M41:M44" xr:uid="{00000000-0009-0000-0100-0000D1000000}"/>
  <tableColumns count="1">
    <tableColumn id="1" xr3:uid="{00000000-0010-0000-3100-000001000000}" name="Sub9.1.2" dataDxfId="552"/>
  </tableColumns>
  <tableStyleInfo name="TableStyleMedium9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00000000-000C-0000-FFFF-FFFF32000000}" name="Sub9.2.1" displayName="Sub9.2.1" ref="M52:M54" totalsRowShown="0" headerRowDxfId="551" dataDxfId="549" headerRowBorderDxfId="550" tableBorderDxfId="548" totalsRowBorderDxfId="547">
  <autoFilter ref="M52:M54" xr:uid="{00000000-0009-0000-0100-0000D2000000}"/>
  <tableColumns count="1">
    <tableColumn id="1" xr3:uid="{00000000-0010-0000-3200-000001000000}" name="Sub9.2.1" dataDxfId="546"/>
  </tableColumns>
  <tableStyleInfo name="TableStyleMedium9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00000000-000C-0000-FFFF-FFFF33000000}" name="Sub9.2.2" displayName="Sub9.2.2" ref="M57:M60" totalsRowShown="0" headerRowDxfId="545" dataDxfId="543" headerRowBorderDxfId="544" tableBorderDxfId="542" totalsRowBorderDxfId="541">
  <autoFilter ref="M57:M60" xr:uid="{00000000-0009-0000-0100-0000D3000000}"/>
  <tableColumns count="1">
    <tableColumn id="1" xr3:uid="{00000000-0010-0000-3300-000001000000}" name="Sub9.2.2" dataDxfId="540"/>
  </tableColumns>
  <tableStyleInfo name="TableStyleMedium9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00000000-000C-0000-FFFF-FFFF34000000}" name="Sub9.3" displayName="Sub9.3" ref="M63:M70" totalsRowShown="0" headerRowDxfId="539" dataDxfId="537" headerRowBorderDxfId="538" tableBorderDxfId="536" totalsRowBorderDxfId="535">
  <autoFilter ref="M63:M70" xr:uid="{00000000-0009-0000-0100-0000D4000000}"/>
  <tableColumns count="1">
    <tableColumn id="1" xr3:uid="{00000000-0010-0000-3400-000001000000}" name="Sub9.3" dataDxfId="534"/>
  </tableColumns>
  <tableStyleInfo name="TableStyleMedium9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00000000-000C-0000-FFFF-FFFF35000000}" name="Capítulo10" displayName="Capítulo10" ref="O22:O25" totalsRowShown="0" headerRowDxfId="533" dataDxfId="531" headerRowBorderDxfId="532" tableBorderDxfId="530" totalsRowBorderDxfId="529">
  <autoFilter ref="O22:O25" xr:uid="{00000000-0009-0000-0100-0000D5000000}"/>
  <tableColumns count="1">
    <tableColumn id="1" xr3:uid="{00000000-0010-0000-3500-000001000000}" name="Capítulo10" dataDxfId="528"/>
  </tableColumns>
  <tableStyleInfo name="TableStyleMedium9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00000000-000C-0000-FFFF-FFFF36000000}" name="Sub10.2" displayName="Sub10.2" ref="O28:O33" totalsRowShown="0" headerRowDxfId="527" dataDxfId="525" headerRowBorderDxfId="526" tableBorderDxfId="524" totalsRowBorderDxfId="523">
  <autoFilter ref="O28:O33" xr:uid="{00000000-0009-0000-0100-0000D6000000}"/>
  <tableColumns count="1">
    <tableColumn id="1" xr3:uid="{00000000-0010-0000-3600-000001000000}" name="Sub10.2" dataDxfId="522"/>
  </tableColumns>
  <tableStyleInfo name="TableStyleMedium9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37000000}" name="Sub5.1" displayName="Sub5.1" ref="E29:E38" totalsRowShown="0" headerRowDxfId="521" dataDxfId="519" headerRowBorderDxfId="520" tableBorderDxfId="518" totalsRowBorderDxfId="517">
  <autoFilter ref="E29:E38" xr:uid="{00000000-0009-0000-0100-000013000000}"/>
  <tableColumns count="1">
    <tableColumn id="1" xr3:uid="{00000000-0010-0000-3700-000001000000}" name="Sub5.1" dataDxfId="516"/>
  </tableColumns>
  <tableStyleInfo name="TableStyleMedium9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38000000}" name="TablaISO" displayName="TablaISO" ref="C4:C6" totalsRowShown="0" headerRowDxfId="515" dataDxfId="513" headerRowBorderDxfId="514" tableBorderDxfId="512" totalsRowBorderDxfId="511">
  <autoFilter ref="C4:C6" xr:uid="{00000000-0009-0000-0100-000015000000}"/>
  <tableColumns count="1">
    <tableColumn id="1" xr3:uid="{00000000-0010-0000-3800-000001000000}" name="ISO" dataDxfId="510"/>
  </tableColumns>
  <tableStyleInfo name="TableStyleMedium9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39000000}" name="Tabla20" displayName="Tabla20" ref="E5:E7" totalsRowShown="0" headerRowDxfId="509" dataDxfId="507" headerRowBorderDxfId="508" tableBorderDxfId="506" totalsRowBorderDxfId="505">
  <autoFilter ref="E5:E7" xr:uid="{00000000-0009-0000-0100-000014000000}"/>
  <tableColumns count="1">
    <tableColumn id="1" xr3:uid="{00000000-0010-0000-3900-000001000000}" name="NombresISO" dataDxfId="504"/>
  </tableColumns>
  <tableStyleInfo name="TableStyleMedium9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3A000000}" name="Tabla104" displayName="Tabla104" ref="G5:G17" totalsRowShown="0" headerRowDxfId="503" dataDxfId="501" headerRowBorderDxfId="502" tableBorderDxfId="500" totalsRowBorderDxfId="499">
  <autoFilter ref="G5:G17" xr:uid="{00000000-0009-0000-0100-000068000000}"/>
  <tableColumns count="1">
    <tableColumn id="1" xr3:uid="{00000000-0010-0000-3A00-000001000000}" name="Meses" dataDxfId="498"/>
  </tableColumns>
  <tableStyleInfo name="TableStyleMedium9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3B000000}" name="Tabla108" displayName="Tabla108" ref="A5:A36" totalsRowShown="0" headerRowDxfId="497" dataDxfId="495" headerRowBorderDxfId="496" tableBorderDxfId="494" totalsRowBorderDxfId="493">
  <autoFilter ref="A5:A36" xr:uid="{00000000-0009-0000-0100-00006C000000}"/>
  <tableColumns count="1">
    <tableColumn id="1" xr3:uid="{00000000-0010-0000-3B00-000001000000}" name="Días" dataDxfId="492"/>
  </tableColumns>
  <tableStyleInfo name="TableStyleMedium9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3C000000}" name="Tabla111" displayName="Tabla111" ref="I5:I17" totalsRowShown="0" headerRowDxfId="491" dataDxfId="489" headerRowBorderDxfId="490" tableBorderDxfId="488" totalsRowBorderDxfId="487">
  <autoFilter ref="I5:I17" xr:uid="{00000000-0009-0000-0100-00006F000000}"/>
  <tableColumns count="1">
    <tableColumn id="1" xr3:uid="{00000000-0010-0000-3C00-000001000000}" name="Meses Letras" dataDxfId="486"/>
  </tableColumns>
  <tableStyleInfo name="TableStyleMedium9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3D000000}" name="ISO9001." displayName="ISO9001." ref="C11:C18" totalsRowShown="0" headerRowDxfId="485" dataDxfId="483" headerRowBorderDxfId="484" tableBorderDxfId="482" totalsRowBorderDxfId="481">
  <autoFilter ref="C11:C18" xr:uid="{00000000-0009-0000-0100-000016000000}"/>
  <tableColumns count="1">
    <tableColumn id="1" xr3:uid="{00000000-0010-0000-3D00-000001000000}" name="ISO9001." dataDxfId="480"/>
  </tableColumns>
  <tableStyleInfo name="TableStyleMedium9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3E000000}" name="Capitulo4" displayName="Capitulo4" ref="C22:C26" totalsRowShown="0" headerRowDxfId="479" dataDxfId="477" headerRowBorderDxfId="478" tableBorderDxfId="476" totalsRowBorderDxfId="475">
  <autoFilter ref="C22:C26" xr:uid="{00000000-0009-0000-0100-000017000000}"/>
  <tableColumns count="1">
    <tableColumn id="1" xr3:uid="{00000000-0010-0000-3E00-000001000000}" name="Capitulo4" dataDxfId="474"/>
  </tableColumns>
  <tableStyleInfo name="TableStyleMedium9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3F000000}" name="Subc4.2" displayName="Subc4.2" ref="C29:C31" totalsRowShown="0" headerRowDxfId="473" dataDxfId="471" headerRowBorderDxfId="472" tableBorderDxfId="470" totalsRowBorderDxfId="469">
  <autoFilter ref="C29:C31" xr:uid="{00000000-0009-0000-0100-000018000000}"/>
  <tableColumns count="1">
    <tableColumn id="1" xr3:uid="{00000000-0010-0000-3F00-000001000000}" name="Subc4.2" dataDxfId="468"/>
  </tableColumns>
  <tableStyleInfo name="TableStyleMedium9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40000000}" name="Subc4.3" displayName="Subc4.3" ref="C34:C37" totalsRowShown="0" headerRowDxfId="467" dataDxfId="465" headerRowBorderDxfId="466" tableBorderDxfId="464" totalsRowBorderDxfId="463">
  <autoFilter ref="C34:C37" xr:uid="{00000000-0009-0000-0100-000019000000}"/>
  <tableColumns count="1">
    <tableColumn id="1" xr3:uid="{00000000-0010-0000-4000-000001000000}" name="Subc4.3" dataDxfId="462"/>
  </tableColumns>
  <tableStyleInfo name="TableStyleMedium9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41000000}" name="Subc4.4" displayName="Subc4.4" ref="C40:C42" totalsRowShown="0" headerRowDxfId="461" dataDxfId="459" headerRowBorderDxfId="460" tableBorderDxfId="458" totalsRowBorderDxfId="457">
  <autoFilter ref="C40:C42" xr:uid="{00000000-0009-0000-0100-00001A000000}"/>
  <tableColumns count="1">
    <tableColumn id="1" xr3:uid="{00000000-0010-0000-4100-000001000000}" name="Subc4.4" dataDxfId="456"/>
  </tableColumns>
  <tableStyleInfo name="TableStyleMedium9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42000000}" name="Subc4.4.1" displayName="Subc4.4.1" ref="C45:C53" totalsRowShown="0" headerRowDxfId="455" dataDxfId="453" headerRowBorderDxfId="454" tableBorderDxfId="452" totalsRowBorderDxfId="451">
  <autoFilter ref="C45:C53" xr:uid="{00000000-0009-0000-0100-00001B000000}"/>
  <tableColumns count="1">
    <tableColumn id="1" xr3:uid="{00000000-0010-0000-4200-000001000000}" name="Subc4.4.1" dataDxfId="450"/>
  </tableColumns>
  <tableStyleInfo name="TableStyleMedium9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43000000}" name="Subc4.4.2" displayName="Subc4.4.2" ref="C56:C58" totalsRowShown="0" headerRowDxfId="449" dataDxfId="447" headerRowBorderDxfId="448" tableBorderDxfId="446" totalsRowBorderDxfId="445">
  <autoFilter ref="C56:C58" xr:uid="{00000000-0009-0000-0100-00001C000000}"/>
  <tableColumns count="1">
    <tableColumn id="1" xr3:uid="{00000000-0010-0000-4300-000001000000}" name="Subc4.4.2" dataDxfId="444"/>
  </tableColumns>
  <tableStyleInfo name="TableStyleMedium9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44000000}" name="Capitulo5" displayName="Capitulo5" ref="E22:E25" totalsRowShown="0" headerRowDxfId="443" dataDxfId="441" headerRowBorderDxfId="442" tableBorderDxfId="440" totalsRowBorderDxfId="439">
  <autoFilter ref="E22:E25" xr:uid="{00000000-0009-0000-0100-00001D000000}"/>
  <tableColumns count="1">
    <tableColumn id="1" xr3:uid="{00000000-0010-0000-4400-000001000000}" name="Capitulo5" dataDxfId="438"/>
  </tableColumns>
  <tableStyleInfo name="TableStyleMedium9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45000000}" name="Subc5.1" displayName="Subc5.1" ref="E29:E31" totalsRowShown="0" headerRowDxfId="437" dataDxfId="435" headerRowBorderDxfId="436" tableBorderDxfId="434" totalsRowBorderDxfId="433">
  <autoFilter ref="E29:E31" xr:uid="{00000000-0009-0000-0100-00001E000000}"/>
  <tableColumns count="1">
    <tableColumn id="1" xr3:uid="{00000000-0010-0000-4500-000001000000}" name="Subc5.1" dataDxfId="432"/>
  </tableColumns>
  <tableStyleInfo name="TableStyleMedium9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46000000}" name="Subc5.1.1" displayName="Subc5.1.1" ref="E34:E44" totalsRowShown="0" headerRowDxfId="431" dataDxfId="429" headerRowBorderDxfId="430" tableBorderDxfId="428" totalsRowBorderDxfId="427">
  <autoFilter ref="E34:E44" xr:uid="{00000000-0009-0000-0100-00001F000000}"/>
  <tableColumns count="1">
    <tableColumn id="1" xr3:uid="{00000000-0010-0000-4600-000001000000}" name="Subc5.1.1" dataDxfId="426"/>
  </tableColumns>
  <tableStyleInfo name="TableStyleMedium9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47000000}" name="Subc5.1.2" displayName="Subc5.1.2" ref="E47:E50" totalsRowShown="0" headerRowDxfId="425" dataDxfId="423" headerRowBorderDxfId="424" tableBorderDxfId="422" totalsRowBorderDxfId="421">
  <autoFilter ref="E47:E50" xr:uid="{00000000-0009-0000-0100-000020000000}"/>
  <tableColumns count="1">
    <tableColumn id="1" xr3:uid="{00000000-0010-0000-4700-000001000000}" name="Subc5.1.2" dataDxfId="420"/>
  </tableColumns>
  <tableStyleInfo name="TableStyleMedium9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48000000}" name="Subc5.2" displayName="Subc5.2" ref="E53:E55" totalsRowShown="0" headerRowDxfId="419" dataDxfId="417" headerRowBorderDxfId="418" tableBorderDxfId="416" totalsRowBorderDxfId="415">
  <autoFilter ref="E53:E55" xr:uid="{00000000-0009-0000-0100-000021000000}"/>
  <tableColumns count="1">
    <tableColumn id="1" xr3:uid="{00000000-0010-0000-4800-000001000000}" name="Subc5.2" dataDxfId="414"/>
  </tableColumns>
  <tableStyleInfo name="TableStyleMedium9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49000000}" name="Subc5.2.1" displayName="Subc5.2.1" ref="E58:E62" totalsRowShown="0" headerRowDxfId="413" dataDxfId="411" headerRowBorderDxfId="412" tableBorderDxfId="410" totalsRowBorderDxfId="409">
  <autoFilter ref="E58:E62" xr:uid="{00000000-0009-0000-0100-000022000000}"/>
  <tableColumns count="1">
    <tableColumn id="1" xr3:uid="{00000000-0010-0000-4900-000001000000}" name="Subc5.2.1" dataDxfId="408"/>
  </tableColumns>
  <tableStyleInfo name="TableStyleMedium9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4A000000}" name="Subc5.2.2" displayName="Subc5.2.2" ref="E65:E68" totalsRowShown="0" headerRowDxfId="407" dataDxfId="405" headerRowBorderDxfId="406" tableBorderDxfId="404" totalsRowBorderDxfId="403">
  <autoFilter ref="E65:E68" xr:uid="{00000000-0009-0000-0100-000023000000}"/>
  <tableColumns count="1">
    <tableColumn id="1" xr3:uid="{00000000-0010-0000-4A00-000001000000}" name="Subc5.2.2" dataDxfId="402"/>
  </tableColumns>
  <tableStyleInfo name="TableStyleMedium9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4B000000}" name="Subc5.3" displayName="Subc5.3" ref="E71:E76" totalsRowShown="0" headerRowDxfId="401" dataDxfId="399" headerRowBorderDxfId="400" tableBorderDxfId="398" totalsRowBorderDxfId="397">
  <autoFilter ref="E71:E76" xr:uid="{00000000-0009-0000-0100-000025000000}"/>
  <tableColumns count="1">
    <tableColumn id="1" xr3:uid="{00000000-0010-0000-4B00-000001000000}" name="Subc5.3" dataDxfId="396"/>
  </tableColumns>
  <tableStyleInfo name="TableStyleMedium9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4C000000}" name="Capitulo6" displayName="Capitulo6" ref="G22:G25" totalsRowShown="0" headerRowDxfId="395" dataDxfId="393" headerRowBorderDxfId="394" tableBorderDxfId="392" totalsRowBorderDxfId="391">
  <autoFilter ref="G22:G25" xr:uid="{00000000-0009-0000-0100-000026000000}"/>
  <tableColumns count="1">
    <tableColumn id="1" xr3:uid="{00000000-0010-0000-4C00-000001000000}" name="Capitulo6" dataDxfId="390"/>
  </tableColumns>
  <tableStyleInfo name="TableStyleMedium9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4D000000}" name="Subc6.1" displayName="Subc6.1" ref="G29:G31" totalsRowShown="0" headerRowDxfId="389" dataDxfId="387" headerRowBorderDxfId="388" tableBorderDxfId="386" totalsRowBorderDxfId="385">
  <autoFilter ref="G29:G31" xr:uid="{00000000-0009-0000-0100-000027000000}"/>
  <tableColumns count="1">
    <tableColumn id="1" xr3:uid="{00000000-0010-0000-4D00-000001000000}" name="Subc6.1" dataDxfId="384"/>
  </tableColumns>
  <tableStyleInfo name="TableStyleMedium9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4E000000}" name="Subc6.1.1" displayName="Subc6.1.1" ref="G34:G38" totalsRowShown="0" headerRowDxfId="383" dataDxfId="381" headerRowBorderDxfId="382" tableBorderDxfId="380" totalsRowBorderDxfId="379">
  <autoFilter ref="G34:G38" xr:uid="{00000000-0009-0000-0100-000028000000}"/>
  <tableColumns count="1">
    <tableColumn id="1" xr3:uid="{00000000-0010-0000-4E00-000001000000}" name="Subc6.1.1" dataDxfId="378"/>
  </tableColumns>
  <tableStyleInfo name="TableStyleMedium9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4F000000}" name="Subc6.1.2" displayName="Subc6.1.2" ref="G41:G43" totalsRowShown="0" headerRowDxfId="377" dataDxfId="375" headerRowBorderDxfId="376" tableBorderDxfId="374" totalsRowBorderDxfId="373">
  <autoFilter ref="G41:G43" xr:uid="{00000000-0009-0000-0100-000029000000}"/>
  <tableColumns count="1">
    <tableColumn id="1" xr3:uid="{00000000-0010-0000-4F00-000001000000}" name="Subc6.1.2" dataDxfId="372"/>
  </tableColumns>
  <tableStyleInfo name="TableStyleMedium9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50000000}" name="Subc6.2" displayName="Subc6.2" ref="G46:G48" totalsRowShown="0" headerRowDxfId="371" dataDxfId="369" headerRowBorderDxfId="370" tableBorderDxfId="368" totalsRowBorderDxfId="367">
  <autoFilter ref="G46:G48" xr:uid="{00000000-0009-0000-0100-00002A000000}"/>
  <tableColumns count="1">
    <tableColumn id="1" xr3:uid="{00000000-0010-0000-5000-000001000000}" name="Subc6.2" dataDxfId="366"/>
  </tableColumns>
  <tableStyleInfo name="TableStyleMedium9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51000000}" name="Subc6.2.1" displayName="Subc6.2.1" ref="G51:G58" totalsRowShown="0" headerRowDxfId="365" dataDxfId="363" headerRowBorderDxfId="364" tableBorderDxfId="362" totalsRowBorderDxfId="361">
  <autoFilter ref="G51:G58" xr:uid="{00000000-0009-0000-0100-00002B000000}"/>
  <tableColumns count="1">
    <tableColumn id="1" xr3:uid="{00000000-0010-0000-5100-000001000000}" name="Subc6.2.1" dataDxfId="360"/>
  </tableColumns>
  <tableStyleInfo name="TableStyleMedium9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52000000}" name="Subc6.2.2" displayName="Subc6.2.2" ref="G61:G66" totalsRowShown="0" headerRowDxfId="359" dataDxfId="357" headerRowBorderDxfId="358" tableBorderDxfId="356" totalsRowBorderDxfId="355">
  <autoFilter ref="G61:G66" xr:uid="{00000000-0009-0000-0100-00002C000000}"/>
  <tableColumns count="1">
    <tableColumn id="1" xr3:uid="{00000000-0010-0000-5200-000001000000}" name="Subc6.2.2" dataDxfId="354"/>
  </tableColumns>
  <tableStyleInfo name="TableStyleMedium9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53000000}" name="Subc6.3" displayName="Subc6.3" ref="G69:G73" totalsRowShown="0" headerRowDxfId="353" dataDxfId="351" headerRowBorderDxfId="352" tableBorderDxfId="350" totalsRowBorderDxfId="349">
  <autoFilter ref="G69:G73" xr:uid="{00000000-0009-0000-0100-00002D000000}"/>
  <tableColumns count="1">
    <tableColumn id="1" xr3:uid="{00000000-0010-0000-5300-000001000000}" name="Subc6.3" dataDxfId="348"/>
  </tableColumns>
  <tableStyleInfo name="TableStyleMedium9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54000000}" name="Capitulo7" displayName="Capitulo7" ref="I22:I27" totalsRowShown="0" headerRowDxfId="347" dataDxfId="345" headerRowBorderDxfId="346" tableBorderDxfId="344" totalsRowBorderDxfId="343">
  <autoFilter ref="I22:I27" xr:uid="{00000000-0009-0000-0100-00002E000000}"/>
  <tableColumns count="1">
    <tableColumn id="1" xr3:uid="{00000000-0010-0000-5400-000001000000}" name="Capitulo7" dataDxfId="342"/>
  </tableColumns>
  <tableStyleInfo name="TableStyleMedium9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55000000}" name="Subc7.1" displayName="Subc7.1" ref="I30:I35" totalsRowShown="0" headerRowDxfId="341" dataDxfId="339" headerRowBorderDxfId="340" tableBorderDxfId="338" totalsRowBorderDxfId="337">
  <autoFilter ref="I30:I35" xr:uid="{00000000-0009-0000-0100-00002F000000}"/>
  <tableColumns count="1">
    <tableColumn id="1" xr3:uid="{00000000-0010-0000-5500-000001000000}" name="Subc7.1" dataDxfId="336"/>
  </tableColumns>
  <tableStyleInfo name="TableStyleMedium9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56000000}" name="Subc7.1.2" displayName="Subc7.1.2" ref="I38:I40" totalsRowShown="0" headerRowDxfId="335" dataDxfId="333" headerRowBorderDxfId="334" tableBorderDxfId="332" totalsRowBorderDxfId="331">
  <autoFilter ref="I38:I40" xr:uid="{00000000-0009-0000-0100-000030000000}"/>
  <tableColumns count="1">
    <tableColumn id="1" xr3:uid="{00000000-0010-0000-5600-000001000000}" name="Subc7.1.2" dataDxfId="330"/>
  </tableColumns>
  <tableStyleInfo name="TableStyleMedium9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57000000}" name="Subc7.1.3" displayName="Subc7.1.3" ref="I43:I47" totalsRowShown="0" headerRowDxfId="329" dataDxfId="327" headerRowBorderDxfId="328" tableBorderDxfId="326" totalsRowBorderDxfId="325">
  <autoFilter ref="I43:I47" xr:uid="{00000000-0009-0000-0100-000031000000}"/>
  <tableColumns count="1">
    <tableColumn id="1" xr3:uid="{00000000-0010-0000-5700-000001000000}" name="Subc7.1.3" dataDxfId="324"/>
  </tableColumns>
  <tableStyleInfo name="TableStyleMedium9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58000000}" name="Subc7.1.4" displayName="Subc7.1.4" ref="I50:I53" totalsRowShown="0" headerRowDxfId="323" dataDxfId="321" headerRowBorderDxfId="322" tableBorderDxfId="320" totalsRowBorderDxfId="319">
  <autoFilter ref="I50:I53" xr:uid="{00000000-0009-0000-0100-000032000000}"/>
  <tableColumns count="1">
    <tableColumn id="1" xr3:uid="{00000000-0010-0000-5800-000001000000}" name="Subc7.1.4" dataDxfId="318"/>
  </tableColumns>
  <tableStyleInfo name="TableStyleMedium9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59000000}" name="Subc7.1.5" displayName="Subc7.1.5" ref="I56:I58" totalsRowShown="0" headerRowDxfId="317" dataDxfId="315" headerRowBorderDxfId="316" tableBorderDxfId="314" totalsRowBorderDxfId="313">
  <autoFilter ref="I56:I58" xr:uid="{00000000-0009-0000-0100-000033000000}"/>
  <tableColumns count="1">
    <tableColumn id="1" xr3:uid="{00000000-0010-0000-5900-000001000000}" name="Subc7.1.5" dataDxfId="312"/>
  </tableColumns>
  <tableStyleInfo name="TableStyleMedium9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5A000000}" name="Subc7.1.5.1" displayName="Subc7.1.5.1" ref="I61:I63" totalsRowShown="0" headerRowDxfId="311" dataDxfId="309" headerRowBorderDxfId="310" tableBorderDxfId="308" totalsRowBorderDxfId="307">
  <autoFilter ref="I61:I63" xr:uid="{00000000-0009-0000-0100-000034000000}"/>
  <tableColumns count="1">
    <tableColumn id="1" xr3:uid="{00000000-0010-0000-5A00-000001000000}" name="Subc7.1.5.1" dataDxfId="306"/>
  </tableColumns>
  <tableStyleInfo name="TableStyleMedium9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5B000000}" name="Subc7.1.5.2" displayName="Subc7.1.5.2" ref="I66:I69" totalsRowShown="0" headerRowDxfId="305" dataDxfId="303" headerRowBorderDxfId="304" tableBorderDxfId="302" totalsRowBorderDxfId="301">
  <autoFilter ref="I66:I69" xr:uid="{00000000-0009-0000-0100-000035000000}"/>
  <tableColumns count="1">
    <tableColumn id="1" xr3:uid="{00000000-0010-0000-5B00-000001000000}" name="Subc7.1.5.2" dataDxfId="300"/>
  </tableColumns>
  <tableStyleInfo name="TableStyleMedium9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5C000000}" name="Subc7.1.6" displayName="Subc7.1.6" ref="I72:I74" totalsRowShown="0" headerRowDxfId="299" dataDxfId="297" headerRowBorderDxfId="298" tableBorderDxfId="296" totalsRowBorderDxfId="295">
  <autoFilter ref="I72:I74" xr:uid="{00000000-0009-0000-0100-000036000000}"/>
  <tableColumns count="1">
    <tableColumn id="1" xr3:uid="{00000000-0010-0000-5C00-000001000000}" name="Subc7.1.6" dataDxfId="294"/>
  </tableColumns>
  <tableStyleInfo name="TableStyleMedium9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5D000000}" name="Subc7.2" displayName="Subc7.2" ref="I77:I81" totalsRowShown="0" headerRowDxfId="293" dataDxfId="291" headerRowBorderDxfId="292" tableBorderDxfId="290" totalsRowBorderDxfId="289">
  <autoFilter ref="I77:I81" xr:uid="{00000000-0009-0000-0100-000037000000}"/>
  <tableColumns count="1">
    <tableColumn id="1" xr3:uid="{00000000-0010-0000-5D00-000001000000}" name="Subc7.2" dataDxfId="288"/>
  </tableColumns>
  <tableStyleInfo name="TableStyleMedium9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5E000000}" name="Subc7.3" displayName="Subc7.3" ref="I84:I88" totalsRowShown="0" headerRowDxfId="287" dataDxfId="285" headerRowBorderDxfId="286" tableBorderDxfId="284" totalsRowBorderDxfId="283">
  <autoFilter ref="I84:I88" xr:uid="{00000000-0009-0000-0100-000038000000}"/>
  <tableColumns count="1">
    <tableColumn id="1" xr3:uid="{00000000-0010-0000-5E00-000001000000}" name="Subc7.3" dataDxfId="282"/>
  </tableColumns>
  <tableStyleInfo name="TableStyleMedium9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5F000000}" name="Subc7.4" displayName="Subc7.4" ref="I91:I96" totalsRowShown="0" headerRowDxfId="281" dataDxfId="279" headerRowBorderDxfId="280" tableBorderDxfId="278" totalsRowBorderDxfId="277">
  <autoFilter ref="I91:I96" xr:uid="{00000000-0009-0000-0100-000039000000}"/>
  <tableColumns count="1">
    <tableColumn id="1" xr3:uid="{00000000-0010-0000-5F00-000001000000}" name="Subc7.4" dataDxfId="276"/>
  </tableColumns>
  <tableStyleInfo name="TableStyleMedium9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60000000}" name="Subc7.5" displayName="Subc7.5" ref="I99:I102" totalsRowShown="0" headerRowDxfId="275" dataDxfId="273" headerRowBorderDxfId="274" tableBorderDxfId="272" totalsRowBorderDxfId="271">
  <autoFilter ref="I99:I102" xr:uid="{00000000-0009-0000-0100-00003A000000}"/>
  <tableColumns count="1">
    <tableColumn id="1" xr3:uid="{00000000-0010-0000-6000-000001000000}" name="Subc7.5" dataDxfId="270"/>
  </tableColumns>
  <tableStyleInfo name="TableStyleMedium9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61000000}" name="Subc7.5.1" displayName="Subc7.5.1" ref="I105:I107" totalsRowShown="0" headerRowDxfId="269" dataDxfId="267" headerRowBorderDxfId="268" tableBorderDxfId="266" totalsRowBorderDxfId="265">
  <autoFilter ref="I105:I107" xr:uid="{00000000-0009-0000-0100-00003B000000}"/>
  <tableColumns count="1">
    <tableColumn id="1" xr3:uid="{00000000-0010-0000-6100-000001000000}" name="Subc7.5.1" dataDxfId="264"/>
  </tableColumns>
  <tableStyleInfo name="TableStyleMedium9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62000000}" name="Subc7.5.2" displayName="Subc7.5.2" ref="I110:I113" totalsRowShown="0" headerRowDxfId="263" dataDxfId="261" headerRowBorderDxfId="262" tableBorderDxfId="260" totalsRowBorderDxfId="259">
  <autoFilter ref="I110:I113" xr:uid="{00000000-0009-0000-0100-00003C000000}"/>
  <tableColumns count="1">
    <tableColumn id="1" xr3:uid="{00000000-0010-0000-6200-000001000000}" name="Subc7.5.2" dataDxfId="258"/>
  </tableColumns>
  <tableStyleInfo name="TableStyleMedium9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63000000}" name="Subc7.5.3" displayName="Subc7.5.3" ref="I116:I118" totalsRowShown="0" headerRowDxfId="257" dataDxfId="255" headerRowBorderDxfId="256" tableBorderDxfId="254" totalsRowBorderDxfId="253">
  <autoFilter ref="I116:I118" xr:uid="{00000000-0009-0000-0100-00003D000000}"/>
  <tableColumns count="1">
    <tableColumn id="1" xr3:uid="{00000000-0010-0000-6300-000001000000}" name="Subc7.5.3" dataDxfId="252"/>
  </tableColumns>
  <tableStyleInfo name="TableStyleMedium9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64000000}" name="Subc7.5.3.1" displayName="Subc7.5.3.1" ref="I121:I123" totalsRowShown="0" headerRowDxfId="251" dataDxfId="249" headerRowBorderDxfId="250" tableBorderDxfId="248" totalsRowBorderDxfId="247">
  <autoFilter ref="I121:I123" xr:uid="{00000000-0009-0000-0100-00003E000000}"/>
  <tableColumns count="1">
    <tableColumn id="1" xr3:uid="{00000000-0010-0000-6400-000001000000}" name="Subc7.5.3.1" dataDxfId="246"/>
  </tableColumns>
  <tableStyleInfo name="TableStyleMedium9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65000000}" name="Subc7.5.3.2" displayName="Subc7.5.3.2" ref="I126:I130" totalsRowShown="0" headerRowDxfId="245" dataDxfId="243" headerRowBorderDxfId="244" tableBorderDxfId="242" totalsRowBorderDxfId="241">
  <autoFilter ref="I126:I130" xr:uid="{00000000-0009-0000-0100-00003F000000}"/>
  <tableColumns count="1">
    <tableColumn id="1" xr3:uid="{00000000-0010-0000-6500-000001000000}" name="Subc7.5.3.2" dataDxfId="240"/>
  </tableColumns>
  <tableStyleInfo name="TableStyleMedium9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66000000}" name="Capitulo8" displayName="Capitulo8" ref="K22:K29" totalsRowShown="0" headerRowDxfId="239" dataDxfId="237" headerRowBorderDxfId="238" tableBorderDxfId="236" totalsRowBorderDxfId="235">
  <autoFilter ref="K22:K29" xr:uid="{00000000-0009-0000-0100-000040000000}"/>
  <tableColumns count="1">
    <tableColumn id="1" xr3:uid="{00000000-0010-0000-6600-000001000000}" name="Capitulo8" dataDxfId="234"/>
  </tableColumns>
  <tableStyleInfo name="TableStyleMedium9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67000000}" name="Subc8.1" displayName="Subc8.1" ref="K32:K37" totalsRowShown="0" headerRowDxfId="233" dataDxfId="231" headerRowBorderDxfId="232" tableBorderDxfId="230" totalsRowBorderDxfId="229">
  <autoFilter ref="K32:K37" xr:uid="{00000000-0009-0000-0100-000041000000}"/>
  <tableColumns count="1">
    <tableColumn id="1" xr3:uid="{00000000-0010-0000-6700-000001000000}" name="Subc8.1" dataDxfId="228"/>
  </tableColumns>
  <tableStyleInfo name="TableStyleMedium9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68000000}" name="Subc8.2" displayName="Subc8.2" ref="K40:K44" totalsRowShown="0" headerRowDxfId="227" dataDxfId="225" headerRowBorderDxfId="226" tableBorderDxfId="224" totalsRowBorderDxfId="223">
  <autoFilter ref="K40:K44" xr:uid="{00000000-0009-0000-0100-000042000000}"/>
  <tableColumns count="1">
    <tableColumn id="1" xr3:uid="{00000000-0010-0000-6800-000001000000}" name="Subc8.2" dataDxfId="222"/>
  </tableColumns>
  <tableStyleInfo name="TableStyleMedium9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69000000}" name="Subc8.2.1" displayName="Subc8.2.1" ref="K47:K52" totalsRowShown="0" headerRowDxfId="221" dataDxfId="219" headerRowBorderDxfId="220" tableBorderDxfId="218" totalsRowBorderDxfId="217">
  <autoFilter ref="K47:K52" xr:uid="{00000000-0009-0000-0100-000043000000}"/>
  <tableColumns count="1">
    <tableColumn id="1" xr3:uid="{00000000-0010-0000-6900-000001000000}" name="Subc8.2.1" dataDxfId="216"/>
  </tableColumns>
  <tableStyleInfo name="TableStyleMedium9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6A000000}" name="Subc8.2.2" displayName="Subc8.2.2" ref="K55:K57" totalsRowShown="0" headerRowDxfId="215" dataDxfId="213" headerRowBorderDxfId="214" tableBorderDxfId="212" totalsRowBorderDxfId="211">
  <autoFilter ref="K55:K57" xr:uid="{00000000-0009-0000-0100-000044000000}"/>
  <tableColumns count="1">
    <tableColumn id="1" xr3:uid="{00000000-0010-0000-6A00-000001000000}" name="Subc8.2.2" dataDxfId="210"/>
  </tableColumns>
  <tableStyleInfo name="TableStyleMedium9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6B000000}" name="Subc8.2.3" displayName="Subc8.2.3" ref="K60:K62" totalsRowShown="0" headerRowDxfId="209" dataDxfId="207" headerRowBorderDxfId="208" tableBorderDxfId="206" totalsRowBorderDxfId="205">
  <autoFilter ref="K60:K62" xr:uid="{00000000-0009-0000-0100-000045000000}"/>
  <tableColumns count="1">
    <tableColumn id="1" xr3:uid="{00000000-0010-0000-6B00-000001000000}" name="Subc8.2.3" dataDxfId="204"/>
  </tableColumns>
  <tableStyleInfo name="TableStyleMedium9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6C000000}" name="Subc8.3" displayName="Subc8.3" ref="K78:K84" totalsRowShown="0" headerRowDxfId="203" dataDxfId="201" headerRowBorderDxfId="202" tableBorderDxfId="200" totalsRowBorderDxfId="199">
  <autoFilter ref="K78:K84" xr:uid="{00000000-0009-0000-0100-000046000000}"/>
  <tableColumns count="1">
    <tableColumn id="1" xr3:uid="{00000000-0010-0000-6C00-000001000000}" name="Subc8.3" dataDxfId="198"/>
  </tableColumns>
  <tableStyleInfo name="TableStyleMedium9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6D000000}" name="Subc8.3.2" displayName="Subc8.3.2" ref="K87:K97" totalsRowShown="0" headerRowDxfId="197" dataDxfId="195" headerRowBorderDxfId="196" tableBorderDxfId="194" totalsRowBorderDxfId="193">
  <autoFilter ref="K87:K97" xr:uid="{00000000-0009-0000-0100-000047000000}"/>
  <tableColumns count="1">
    <tableColumn id="1" xr3:uid="{00000000-0010-0000-6D00-000001000000}" name="Subc8.3.2" dataDxfId="192"/>
  </tableColumns>
  <tableStyleInfo name="TableStyleMedium9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6E000000}" name="Subc8.3.3" displayName="Subc8.3.3" ref="K100:K105" totalsRowShown="0" headerRowDxfId="191" dataDxfId="189" headerRowBorderDxfId="190" tableBorderDxfId="188" totalsRowBorderDxfId="187">
  <autoFilter ref="K100:K105" xr:uid="{00000000-0009-0000-0100-000048000000}"/>
  <tableColumns count="1">
    <tableColumn id="1" xr3:uid="{00000000-0010-0000-6E00-000001000000}" name="Subc8.3.3" dataDxfId="186"/>
  </tableColumns>
  <tableStyleInfo name="TableStyleMedium9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6F000000}" name="Subc8.3.4" displayName="Subc8.3.4" ref="K108:K114" totalsRowShown="0" headerRowDxfId="185" dataDxfId="183" headerRowBorderDxfId="184" tableBorderDxfId="182" totalsRowBorderDxfId="181">
  <autoFilter ref="K108:K114" xr:uid="{00000000-0009-0000-0100-000049000000}"/>
  <tableColumns count="1">
    <tableColumn id="1" xr3:uid="{00000000-0010-0000-6F00-000001000000}" name="Subc8.3.4" dataDxfId="180"/>
  </tableColumns>
  <tableStyleInfo name="TableStyleMedium9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70000000}" name="Subc8.3.5" displayName="Subc8.3.5" ref="K117:K121" totalsRowShown="0" headerRowDxfId="179" dataDxfId="177" headerRowBorderDxfId="178" tableBorderDxfId="176" totalsRowBorderDxfId="175">
  <autoFilter ref="K117:K121" xr:uid="{00000000-0009-0000-0100-00004A000000}"/>
  <tableColumns count="1">
    <tableColumn id="1" xr3:uid="{00000000-0010-0000-7000-000001000000}" name="Subc8.3.5" dataDxfId="174"/>
  </tableColumns>
  <tableStyleInfo name="TableStyleMedium9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71000000}" name="Subc8.3.6" displayName="Subc8.3.6" ref="K124:K128" totalsRowShown="0" headerRowDxfId="173" dataDxfId="171" headerRowBorderDxfId="172" tableBorderDxfId="170" totalsRowBorderDxfId="169">
  <autoFilter ref="K124:K128" xr:uid="{00000000-0009-0000-0100-00004B000000}"/>
  <tableColumns count="1">
    <tableColumn id="1" xr3:uid="{00000000-0010-0000-7100-000001000000}" name="Subc8.3.6" dataDxfId="168"/>
  </tableColumns>
  <tableStyleInfo name="TableStyleMedium9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72000000}" name="Subc8.4" displayName="Subc8.4" ref="K131:K134" totalsRowShown="0" headerRowDxfId="167" dataDxfId="165" headerRowBorderDxfId="166" tableBorderDxfId="164" totalsRowBorderDxfId="163">
  <autoFilter ref="K131:K134" xr:uid="{00000000-0009-0000-0100-00004C000000}"/>
  <tableColumns count="1">
    <tableColumn id="1" xr3:uid="{00000000-0010-0000-7200-000001000000}" name="Subc8.4" dataDxfId="162"/>
  </tableColumns>
  <tableStyleInfo name="TableStyleMedium9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73000000}" name="Subc8.4.1" displayName="Subc8.4.1" ref="K137:K140" totalsRowShown="0" headerRowDxfId="161" dataDxfId="159" headerRowBorderDxfId="160" tableBorderDxfId="158" totalsRowBorderDxfId="157">
  <autoFilter ref="K137:K140" xr:uid="{00000000-0009-0000-0100-00004D000000}"/>
  <tableColumns count="1">
    <tableColumn id="1" xr3:uid="{00000000-0010-0000-7300-000001000000}" name="Subc8.4.1" dataDxfId="156"/>
  </tableColumns>
  <tableStyleInfo name="TableStyleMedium9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74000000}" name="Subc8.4.2" displayName="Subc8.4.2" ref="K143:K147" totalsRowShown="0" headerRowDxfId="155" dataDxfId="153" headerRowBorderDxfId="154" tableBorderDxfId="152" totalsRowBorderDxfId="151">
  <autoFilter ref="K143:K147" xr:uid="{00000000-0009-0000-0100-00004E000000}"/>
  <tableColumns count="1">
    <tableColumn id="1" xr3:uid="{00000000-0010-0000-7400-000001000000}" name="Subc8.4.2" dataDxfId="150"/>
  </tableColumns>
  <tableStyleInfo name="TableStyleMedium9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75000000}" name="Subc8.4.3" displayName="Subc8.4.3" ref="K150:K156" totalsRowShown="0" headerRowDxfId="149" dataDxfId="147" headerRowBorderDxfId="148" tableBorderDxfId="146" totalsRowBorderDxfId="145">
  <autoFilter ref="K150:K156" xr:uid="{00000000-0009-0000-0100-00004F000000}"/>
  <tableColumns count="1">
    <tableColumn id="1" xr3:uid="{00000000-0010-0000-7500-000001000000}" name="Subc8.4.3" dataDxfId="144"/>
  </tableColumns>
  <tableStyleInfo name="TableStyleMedium9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76000000}" name="Subc8.5" displayName="Subc8.5" ref="K159:K165" totalsRowShown="0" headerRowDxfId="143" dataDxfId="141" headerRowBorderDxfId="142" tableBorderDxfId="140" totalsRowBorderDxfId="139">
  <autoFilter ref="K159:K165" xr:uid="{00000000-0009-0000-0100-000050000000}"/>
  <tableColumns count="1">
    <tableColumn id="1" xr3:uid="{00000000-0010-0000-7600-000001000000}" name="Subc8.5" dataDxfId="138"/>
  </tableColumns>
  <tableStyleInfo name="TableStyleMedium9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77000000}" name="Subc8.5.1" displayName="Subc8.5.1" ref="K168:K176" totalsRowShown="0" headerRowDxfId="137" dataDxfId="135" headerRowBorderDxfId="136" tableBorderDxfId="134" totalsRowBorderDxfId="133">
  <autoFilter ref="K168:K176" xr:uid="{00000000-0009-0000-0100-000051000000}"/>
  <tableColumns count="1">
    <tableColumn id="1" xr3:uid="{00000000-0010-0000-7700-000001000000}" name="Subc8.5.1" dataDxfId="132"/>
  </tableColumns>
  <tableStyleInfo name="TableStyleMedium9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78000000}" name="Subc8.5.5" displayName="Subc8.5.5" ref="K179:K184" totalsRowShown="0" headerRowDxfId="131" dataDxfId="129" headerRowBorderDxfId="130" tableBorderDxfId="128" totalsRowBorderDxfId="127">
  <autoFilter ref="K179:K184" xr:uid="{00000000-0009-0000-0100-000052000000}"/>
  <tableColumns count="1">
    <tableColumn id="1" xr3:uid="{00000000-0010-0000-7800-000001000000}" name="Subc8.5.5" dataDxfId="126"/>
  </tableColumns>
  <tableStyleInfo name="TableStyleMedium9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79000000}" name="Subc8.6" displayName="Subc8.6" ref="K187:K189" totalsRowShown="0" headerRowDxfId="125" dataDxfId="123" headerRowBorderDxfId="124" tableBorderDxfId="122" totalsRowBorderDxfId="121">
  <autoFilter ref="K187:K189" xr:uid="{00000000-0009-0000-0100-000053000000}"/>
  <tableColumns count="1">
    <tableColumn id="1" xr3:uid="{00000000-0010-0000-7900-000001000000}" name="Subc8.6" dataDxfId="120"/>
  </tableColumns>
  <tableStyleInfo name="TableStyleMedium9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7A000000}" name="Subc8.7" displayName="Subc8.7" ref="K192:K194" totalsRowShown="0" headerRowDxfId="119" dataDxfId="117" headerRowBorderDxfId="118" tableBorderDxfId="116" totalsRowBorderDxfId="115">
  <autoFilter ref="K192:K194" xr:uid="{00000000-0009-0000-0100-000054000000}"/>
  <tableColumns count="1">
    <tableColumn id="1" xr3:uid="{00000000-0010-0000-7A00-000001000000}" name="Subc8.7" dataDxfId="114"/>
  </tableColumns>
  <tableStyleInfo name="TableStyleMedium9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7B000000}" name="Subc8.7.1" displayName="Subc8.7.1" ref="K197:K201" totalsRowShown="0" headerRowDxfId="113" dataDxfId="111" headerRowBorderDxfId="112" tableBorderDxfId="110" totalsRowBorderDxfId="109">
  <autoFilter ref="K197:K201" xr:uid="{00000000-0009-0000-0100-000055000000}"/>
  <tableColumns count="1">
    <tableColumn id="1" xr3:uid="{00000000-0010-0000-7B00-000001000000}" name="Subc8.7.1" dataDxfId="108"/>
  </tableColumns>
  <tableStyleInfo name="TableStyleMedium9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7C000000}" name="Subc8.7.2" displayName="Subc8.7.2" ref="K204:K208" totalsRowShown="0" headerRowDxfId="107" dataDxfId="105" headerRowBorderDxfId="106" tableBorderDxfId="104" totalsRowBorderDxfId="103">
  <autoFilter ref="K204:K208" xr:uid="{00000000-0009-0000-0100-000056000000}"/>
  <tableColumns count="1">
    <tableColumn id="1" xr3:uid="{00000000-0010-0000-7C00-000001000000}" name="Subc8.7.2" dataDxfId="102"/>
  </tableColumns>
  <tableStyleInfo name="TableStyleMedium9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7D000000}" name="Subc8.2.3.1" displayName="Subc8.2.3.1" ref="K65:K70" totalsRowShown="0" headerRowDxfId="101" dataDxfId="99" headerRowBorderDxfId="100" tableBorderDxfId="98" totalsRowBorderDxfId="97">
  <autoFilter ref="K65:K70" xr:uid="{00000000-0009-0000-0100-000057000000}"/>
  <tableColumns count="1">
    <tableColumn id="1" xr3:uid="{00000000-0010-0000-7D00-000001000000}" name="Subc8.2.3.1" dataDxfId="96"/>
  </tableColumns>
  <tableStyleInfo name="TableStyleMedium9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7E000000}" name="Subc8.2.3.2" displayName="Subc8.2.3.2" ref="K73:K75" totalsRowShown="0" headerRowDxfId="95" dataDxfId="93" headerRowBorderDxfId="94" tableBorderDxfId="92" totalsRowBorderDxfId="91">
  <autoFilter ref="K73:K75" xr:uid="{00000000-0009-0000-0100-000058000000}"/>
  <tableColumns count="1">
    <tableColumn id="1" xr3:uid="{00000000-0010-0000-7E00-000001000000}" name="Subc8.2.3.2" dataDxfId="90"/>
  </tableColumns>
  <tableStyleInfo name="TableStyleMedium9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7F000000}" name="Capitulo9" displayName="Capitulo9" ref="M22:M25" totalsRowShown="0" headerRowDxfId="89" dataDxfId="87" headerRowBorderDxfId="88" tableBorderDxfId="86" totalsRowBorderDxfId="85">
  <autoFilter ref="M22:M25" xr:uid="{00000000-0009-0000-0100-000059000000}"/>
  <tableColumns count="1">
    <tableColumn id="1" xr3:uid="{00000000-0010-0000-7F00-000001000000}" name="Capitulo9" dataDxfId="84"/>
  </tableColumns>
  <tableStyleInfo name="TableStyleMedium9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80000000}" name="Subc9.1" displayName="Subc9.1" ref="M28:M31" totalsRowShown="0" headerRowDxfId="83" dataDxfId="81" headerRowBorderDxfId="82" tableBorderDxfId="80" totalsRowBorderDxfId="79">
  <autoFilter ref="M28:M31" xr:uid="{00000000-0009-0000-0100-00005A000000}"/>
  <tableColumns count="1">
    <tableColumn id="1" xr3:uid="{00000000-0010-0000-8000-000001000000}" name="Subc9.1" dataDxfId="78"/>
  </tableColumns>
  <tableStyleInfo name="TableStyleMedium9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81000000}" name="Subc9.1.1" displayName="Subc9.1.1" ref="M34:M38" totalsRowShown="0" headerRowDxfId="77" dataDxfId="75" headerRowBorderDxfId="76" tableBorderDxfId="74" totalsRowBorderDxfId="73">
  <autoFilter ref="M34:M38" xr:uid="{00000000-0009-0000-0100-00005B000000}"/>
  <tableColumns count="1">
    <tableColumn id="1" xr3:uid="{00000000-0010-0000-8100-000001000000}" name="Subc9.1.1" dataDxfId="72"/>
  </tableColumns>
  <tableStyleInfo name="TableStyleMedium9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82000000}" name="Subc9.1.3" displayName="Subc9.1.3" ref="M41:M48" totalsRowShown="0" headerRowDxfId="71" dataDxfId="69" headerRowBorderDxfId="70" tableBorderDxfId="68" totalsRowBorderDxfId="67">
  <autoFilter ref="M41:M48" xr:uid="{00000000-0009-0000-0100-00005C000000}"/>
  <tableColumns count="1">
    <tableColumn id="1" xr3:uid="{00000000-0010-0000-8200-000001000000}" name="Subc9.1.3" dataDxfId="66"/>
  </tableColumns>
  <tableStyleInfo name="TableStyleMedium9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83000000}" name="Subc9.2" displayName="Subc9.2" ref="M51:M53" totalsRowShown="0" headerRowDxfId="65" dataDxfId="63" headerRowBorderDxfId="64" tableBorderDxfId="62" totalsRowBorderDxfId="61">
  <autoFilter ref="M51:M53" xr:uid="{00000000-0009-0000-0100-00005D000000}"/>
  <tableColumns count="1">
    <tableColumn id="1" xr3:uid="{00000000-0010-0000-8300-000001000000}" name="Subc9.2" dataDxfId="60"/>
  </tableColumns>
  <tableStyleInfo name="TableStyleMedium9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84000000}" name="Subc9.2.1" displayName="Subc9.2.1" ref="M56:M58" totalsRowShown="0" headerRowDxfId="59" dataDxfId="57" headerRowBorderDxfId="58" tableBorderDxfId="56" totalsRowBorderDxfId="55">
  <autoFilter ref="M56:M58" xr:uid="{00000000-0009-0000-0100-00005E000000}"/>
  <tableColumns count="1">
    <tableColumn id="1" xr3:uid="{00000000-0010-0000-8400-000001000000}" name="Subc9.2.1" dataDxfId="54"/>
  </tableColumns>
  <tableStyleInfo name="TableStyleMedium9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85000000}" name="Subc9.2.2" displayName="Subc9.2.2" ref="M61:M67" totalsRowShown="0" headerRowDxfId="53" dataDxfId="51" headerRowBorderDxfId="52" tableBorderDxfId="50" totalsRowBorderDxfId="49">
  <autoFilter ref="M61:M67" xr:uid="{00000000-0009-0000-0100-00005F000000}"/>
  <tableColumns count="1">
    <tableColumn id="1" xr3:uid="{00000000-0010-0000-8500-000001000000}" name="Subc9.2.2" dataDxfId="48"/>
  </tableColumns>
  <tableStyleInfo name="TableStyleMedium9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86000000}" name="Subc9.3" displayName="Subc9.3" ref="M70:M73" totalsRowShown="0" headerRowDxfId="47" dataDxfId="45" headerRowBorderDxfId="46" tableBorderDxfId="44" totalsRowBorderDxfId="43">
  <autoFilter ref="M70:M73" xr:uid="{00000000-0009-0000-0100-000060000000}"/>
  <tableColumns count="1">
    <tableColumn id="1" xr3:uid="{00000000-0010-0000-8600-000001000000}" name="Subc9.3" dataDxfId="42"/>
  </tableColumns>
  <tableStyleInfo name="TableStyleMedium9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87000000}" name="Subc9.3.2" displayName="Subc9.3.2" ref="M76:M82" totalsRowShown="0" headerRowDxfId="41" dataDxfId="39" headerRowBorderDxfId="40" tableBorderDxfId="38" totalsRowBorderDxfId="37">
  <autoFilter ref="M76:M82" xr:uid="{00000000-0009-0000-0100-000061000000}"/>
  <tableColumns count="1">
    <tableColumn id="1" xr3:uid="{00000000-0010-0000-8700-000001000000}" name="Subc9.3.2" dataDxfId="36"/>
  </tableColumns>
  <tableStyleInfo name="TableStyleMedium9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88000000}" name="Subc9.3.3" displayName="Subc9.3.3" ref="M85:M88" totalsRowShown="0" headerRowDxfId="35" dataDxfId="33" headerRowBorderDxfId="34" tableBorderDxfId="32" totalsRowBorderDxfId="31">
  <autoFilter ref="M85:M88" xr:uid="{00000000-0009-0000-0100-000062000000}"/>
  <tableColumns count="1">
    <tableColumn id="1" xr3:uid="{00000000-0010-0000-8800-000001000000}" name="Subc9.3.3" dataDxfId="30"/>
  </tableColumns>
  <tableStyleInfo name="TableStyleMedium9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89000000}" name="Capitulo10" displayName="Capitulo10" ref="O22:O25" totalsRowShown="0" headerRowDxfId="29" dataDxfId="27" headerRowBorderDxfId="28" tableBorderDxfId="26" totalsRowBorderDxfId="25">
  <autoFilter ref="O22:O25" xr:uid="{00000000-0009-0000-0100-000063000000}"/>
  <tableColumns count="1">
    <tableColumn id="1" xr3:uid="{00000000-0010-0000-8900-000001000000}" name="Capitulo10" dataDxfId="24"/>
  </tableColumns>
  <tableStyleInfo name="TableStyleMedium9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8A000000}" name="Subc10.1" displayName="Subc10.1" ref="O28:O31" totalsRowShown="0" headerRowDxfId="23" dataDxfId="21" headerRowBorderDxfId="22" tableBorderDxfId="20" totalsRowBorderDxfId="19">
  <autoFilter ref="O28:O31" xr:uid="{00000000-0009-0000-0100-000064000000}"/>
  <tableColumns count="1">
    <tableColumn id="1" xr3:uid="{00000000-0010-0000-8A00-000001000000}" name="Subc10.1" dataDxfId="18"/>
  </tableColumns>
  <tableStyleInfo name="TableStyleMedium9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8B000000}" name="Subc10.2" displayName="Subc10.2" ref="O34:O36" totalsRowShown="0" headerRowDxfId="17" dataDxfId="15" headerRowBorderDxfId="16" tableBorderDxfId="14" totalsRowBorderDxfId="13">
  <autoFilter ref="O34:O36" xr:uid="{00000000-0009-0000-0100-000065000000}"/>
  <tableColumns count="1">
    <tableColumn id="1" xr3:uid="{00000000-0010-0000-8B00-000001000000}" name="Subc10.2" dataDxfId="12"/>
  </tableColumns>
  <tableStyleInfo name="TableStyleMedium9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8C000000}" name="Subc10.2.1" displayName="Subc10.2.1" ref="O39:O45" totalsRowShown="0" headerRowDxfId="11" dataDxfId="9" headerRowBorderDxfId="10" tableBorderDxfId="8" totalsRowBorderDxfId="7">
  <autoFilter ref="O39:O45" xr:uid="{00000000-0009-0000-0100-000066000000}"/>
  <tableColumns count="1">
    <tableColumn id="1" xr3:uid="{00000000-0010-0000-8C00-000001000000}" name="Subc10.2.1" dataDxfId="6"/>
  </tableColumns>
  <tableStyleInfo name="TableStyleMedium9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8D000000}" name="Subc10.2.2" displayName="Subc10.2.2" ref="O48:O50" totalsRowShown="0" headerRowDxfId="5" dataDxfId="3" headerRowBorderDxfId="4" tableBorderDxfId="2" totalsRowBorderDxfId="1">
  <autoFilter ref="O48:O50" xr:uid="{00000000-0009-0000-0100-000067000000}"/>
  <tableColumns count="1">
    <tableColumn id="1" xr3:uid="{00000000-0010-0000-8D00-000001000000}" name="Subc10.2.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27.xml"/><Relationship Id="rId18" Type="http://schemas.openxmlformats.org/officeDocument/2006/relationships/table" Target="../tables/table32.xml"/><Relationship Id="rId26" Type="http://schemas.openxmlformats.org/officeDocument/2006/relationships/table" Target="../tables/table40.xml"/><Relationship Id="rId39" Type="http://schemas.openxmlformats.org/officeDocument/2006/relationships/table" Target="../tables/table53.xml"/><Relationship Id="rId21" Type="http://schemas.openxmlformats.org/officeDocument/2006/relationships/table" Target="../tables/table35.xml"/><Relationship Id="rId34" Type="http://schemas.openxmlformats.org/officeDocument/2006/relationships/table" Target="../tables/table48.xml"/><Relationship Id="rId42" Type="http://schemas.openxmlformats.org/officeDocument/2006/relationships/table" Target="../tables/table56.xml"/><Relationship Id="rId7" Type="http://schemas.openxmlformats.org/officeDocument/2006/relationships/table" Target="../tables/table21.xml"/><Relationship Id="rId2" Type="http://schemas.openxmlformats.org/officeDocument/2006/relationships/table" Target="../tables/table16.xml"/><Relationship Id="rId16" Type="http://schemas.openxmlformats.org/officeDocument/2006/relationships/table" Target="../tables/table30.xml"/><Relationship Id="rId29" Type="http://schemas.openxmlformats.org/officeDocument/2006/relationships/table" Target="../tables/table4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20.xml"/><Relationship Id="rId11" Type="http://schemas.openxmlformats.org/officeDocument/2006/relationships/table" Target="../tables/table25.xml"/><Relationship Id="rId24" Type="http://schemas.openxmlformats.org/officeDocument/2006/relationships/table" Target="../tables/table38.xml"/><Relationship Id="rId32" Type="http://schemas.openxmlformats.org/officeDocument/2006/relationships/table" Target="../tables/table46.xml"/><Relationship Id="rId37" Type="http://schemas.openxmlformats.org/officeDocument/2006/relationships/table" Target="../tables/table51.xml"/><Relationship Id="rId40" Type="http://schemas.openxmlformats.org/officeDocument/2006/relationships/table" Target="../tables/table54.xml"/><Relationship Id="rId45" Type="http://schemas.openxmlformats.org/officeDocument/2006/relationships/table" Target="../tables/table59.xml"/><Relationship Id="rId5" Type="http://schemas.openxmlformats.org/officeDocument/2006/relationships/table" Target="../tables/table19.xml"/><Relationship Id="rId15" Type="http://schemas.openxmlformats.org/officeDocument/2006/relationships/table" Target="../tables/table29.xml"/><Relationship Id="rId23" Type="http://schemas.openxmlformats.org/officeDocument/2006/relationships/table" Target="../tables/table37.xml"/><Relationship Id="rId28" Type="http://schemas.openxmlformats.org/officeDocument/2006/relationships/table" Target="../tables/table42.xml"/><Relationship Id="rId36" Type="http://schemas.openxmlformats.org/officeDocument/2006/relationships/table" Target="../tables/table50.xml"/><Relationship Id="rId10" Type="http://schemas.openxmlformats.org/officeDocument/2006/relationships/table" Target="../tables/table24.xml"/><Relationship Id="rId19" Type="http://schemas.openxmlformats.org/officeDocument/2006/relationships/table" Target="../tables/table33.xml"/><Relationship Id="rId31" Type="http://schemas.openxmlformats.org/officeDocument/2006/relationships/table" Target="../tables/table45.xml"/><Relationship Id="rId44" Type="http://schemas.openxmlformats.org/officeDocument/2006/relationships/table" Target="../tables/table58.xml"/><Relationship Id="rId4" Type="http://schemas.openxmlformats.org/officeDocument/2006/relationships/table" Target="../tables/table18.xml"/><Relationship Id="rId9" Type="http://schemas.openxmlformats.org/officeDocument/2006/relationships/table" Target="../tables/table23.xml"/><Relationship Id="rId14" Type="http://schemas.openxmlformats.org/officeDocument/2006/relationships/table" Target="../tables/table28.xml"/><Relationship Id="rId22" Type="http://schemas.openxmlformats.org/officeDocument/2006/relationships/table" Target="../tables/table36.xml"/><Relationship Id="rId27" Type="http://schemas.openxmlformats.org/officeDocument/2006/relationships/table" Target="../tables/table41.xml"/><Relationship Id="rId30" Type="http://schemas.openxmlformats.org/officeDocument/2006/relationships/table" Target="../tables/table44.xml"/><Relationship Id="rId35" Type="http://schemas.openxmlformats.org/officeDocument/2006/relationships/table" Target="../tables/table49.xml"/><Relationship Id="rId43" Type="http://schemas.openxmlformats.org/officeDocument/2006/relationships/table" Target="../tables/table57.xml"/><Relationship Id="rId8" Type="http://schemas.openxmlformats.org/officeDocument/2006/relationships/table" Target="../tables/table22.xml"/><Relationship Id="rId3" Type="http://schemas.openxmlformats.org/officeDocument/2006/relationships/table" Target="../tables/table17.xml"/><Relationship Id="rId12" Type="http://schemas.openxmlformats.org/officeDocument/2006/relationships/table" Target="../tables/table26.xml"/><Relationship Id="rId17" Type="http://schemas.openxmlformats.org/officeDocument/2006/relationships/table" Target="../tables/table31.xml"/><Relationship Id="rId25" Type="http://schemas.openxmlformats.org/officeDocument/2006/relationships/table" Target="../tables/table39.xml"/><Relationship Id="rId33" Type="http://schemas.openxmlformats.org/officeDocument/2006/relationships/table" Target="../tables/table47.xml"/><Relationship Id="rId38" Type="http://schemas.openxmlformats.org/officeDocument/2006/relationships/table" Target="../tables/table52.xml"/><Relationship Id="rId46" Type="http://schemas.openxmlformats.org/officeDocument/2006/relationships/table" Target="../tables/table60.xml"/><Relationship Id="rId20" Type="http://schemas.openxmlformats.org/officeDocument/2006/relationships/table" Target="../tables/table34.xml"/><Relationship Id="rId41" Type="http://schemas.openxmlformats.org/officeDocument/2006/relationships/table" Target="../tables/table55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85.xml"/><Relationship Id="rId21" Type="http://schemas.openxmlformats.org/officeDocument/2006/relationships/table" Target="../tables/table80.xml"/><Relationship Id="rId42" Type="http://schemas.openxmlformats.org/officeDocument/2006/relationships/table" Target="../tables/table101.xml"/><Relationship Id="rId47" Type="http://schemas.openxmlformats.org/officeDocument/2006/relationships/table" Target="../tables/table106.xml"/><Relationship Id="rId63" Type="http://schemas.openxmlformats.org/officeDocument/2006/relationships/table" Target="../tables/table122.xml"/><Relationship Id="rId68" Type="http://schemas.openxmlformats.org/officeDocument/2006/relationships/table" Target="../tables/table127.xml"/><Relationship Id="rId16" Type="http://schemas.openxmlformats.org/officeDocument/2006/relationships/table" Target="../tables/table75.xml"/><Relationship Id="rId11" Type="http://schemas.openxmlformats.org/officeDocument/2006/relationships/table" Target="../tables/table70.xml"/><Relationship Id="rId32" Type="http://schemas.openxmlformats.org/officeDocument/2006/relationships/table" Target="../tables/table91.xml"/><Relationship Id="rId37" Type="http://schemas.openxmlformats.org/officeDocument/2006/relationships/table" Target="../tables/table96.xml"/><Relationship Id="rId53" Type="http://schemas.openxmlformats.org/officeDocument/2006/relationships/table" Target="../tables/table112.xml"/><Relationship Id="rId58" Type="http://schemas.openxmlformats.org/officeDocument/2006/relationships/table" Target="../tables/table117.xml"/><Relationship Id="rId74" Type="http://schemas.openxmlformats.org/officeDocument/2006/relationships/table" Target="../tables/table133.xml"/><Relationship Id="rId79" Type="http://schemas.openxmlformats.org/officeDocument/2006/relationships/table" Target="../tables/table138.xml"/><Relationship Id="rId5" Type="http://schemas.openxmlformats.org/officeDocument/2006/relationships/table" Target="../tables/table64.xml"/><Relationship Id="rId61" Type="http://schemas.openxmlformats.org/officeDocument/2006/relationships/table" Target="../tables/table120.xml"/><Relationship Id="rId82" Type="http://schemas.openxmlformats.org/officeDocument/2006/relationships/table" Target="../tables/table141.xml"/><Relationship Id="rId19" Type="http://schemas.openxmlformats.org/officeDocument/2006/relationships/table" Target="../tables/table78.xml"/><Relationship Id="rId14" Type="http://schemas.openxmlformats.org/officeDocument/2006/relationships/table" Target="../tables/table73.xml"/><Relationship Id="rId22" Type="http://schemas.openxmlformats.org/officeDocument/2006/relationships/table" Target="../tables/table81.xml"/><Relationship Id="rId27" Type="http://schemas.openxmlformats.org/officeDocument/2006/relationships/table" Target="../tables/table86.xml"/><Relationship Id="rId30" Type="http://schemas.openxmlformats.org/officeDocument/2006/relationships/table" Target="../tables/table89.xml"/><Relationship Id="rId35" Type="http://schemas.openxmlformats.org/officeDocument/2006/relationships/table" Target="../tables/table94.xml"/><Relationship Id="rId43" Type="http://schemas.openxmlformats.org/officeDocument/2006/relationships/table" Target="../tables/table102.xml"/><Relationship Id="rId48" Type="http://schemas.openxmlformats.org/officeDocument/2006/relationships/table" Target="../tables/table107.xml"/><Relationship Id="rId56" Type="http://schemas.openxmlformats.org/officeDocument/2006/relationships/table" Target="../tables/table115.xml"/><Relationship Id="rId64" Type="http://schemas.openxmlformats.org/officeDocument/2006/relationships/table" Target="../tables/table123.xml"/><Relationship Id="rId69" Type="http://schemas.openxmlformats.org/officeDocument/2006/relationships/table" Target="../tables/table128.xml"/><Relationship Id="rId77" Type="http://schemas.openxmlformats.org/officeDocument/2006/relationships/table" Target="../tables/table136.xml"/><Relationship Id="rId8" Type="http://schemas.openxmlformats.org/officeDocument/2006/relationships/table" Target="../tables/table67.xml"/><Relationship Id="rId51" Type="http://schemas.openxmlformats.org/officeDocument/2006/relationships/table" Target="../tables/table110.xml"/><Relationship Id="rId72" Type="http://schemas.openxmlformats.org/officeDocument/2006/relationships/table" Target="../tables/table131.xml"/><Relationship Id="rId80" Type="http://schemas.openxmlformats.org/officeDocument/2006/relationships/table" Target="../tables/table139.xml"/><Relationship Id="rId3" Type="http://schemas.openxmlformats.org/officeDocument/2006/relationships/table" Target="../tables/table62.xml"/><Relationship Id="rId12" Type="http://schemas.openxmlformats.org/officeDocument/2006/relationships/table" Target="../tables/table71.xml"/><Relationship Id="rId17" Type="http://schemas.openxmlformats.org/officeDocument/2006/relationships/table" Target="../tables/table76.xml"/><Relationship Id="rId25" Type="http://schemas.openxmlformats.org/officeDocument/2006/relationships/table" Target="../tables/table84.xml"/><Relationship Id="rId33" Type="http://schemas.openxmlformats.org/officeDocument/2006/relationships/table" Target="../tables/table92.xml"/><Relationship Id="rId38" Type="http://schemas.openxmlformats.org/officeDocument/2006/relationships/table" Target="../tables/table97.xml"/><Relationship Id="rId46" Type="http://schemas.openxmlformats.org/officeDocument/2006/relationships/table" Target="../tables/table105.xml"/><Relationship Id="rId59" Type="http://schemas.openxmlformats.org/officeDocument/2006/relationships/table" Target="../tables/table118.xml"/><Relationship Id="rId67" Type="http://schemas.openxmlformats.org/officeDocument/2006/relationships/table" Target="../tables/table126.xml"/><Relationship Id="rId20" Type="http://schemas.openxmlformats.org/officeDocument/2006/relationships/table" Target="../tables/table79.xml"/><Relationship Id="rId41" Type="http://schemas.openxmlformats.org/officeDocument/2006/relationships/table" Target="../tables/table100.xml"/><Relationship Id="rId54" Type="http://schemas.openxmlformats.org/officeDocument/2006/relationships/table" Target="../tables/table113.xml"/><Relationship Id="rId62" Type="http://schemas.openxmlformats.org/officeDocument/2006/relationships/table" Target="../tables/table121.xml"/><Relationship Id="rId70" Type="http://schemas.openxmlformats.org/officeDocument/2006/relationships/table" Target="../tables/table129.xml"/><Relationship Id="rId75" Type="http://schemas.openxmlformats.org/officeDocument/2006/relationships/table" Target="../tables/table13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65.xml"/><Relationship Id="rId15" Type="http://schemas.openxmlformats.org/officeDocument/2006/relationships/table" Target="../tables/table74.xml"/><Relationship Id="rId23" Type="http://schemas.openxmlformats.org/officeDocument/2006/relationships/table" Target="../tables/table82.xml"/><Relationship Id="rId28" Type="http://schemas.openxmlformats.org/officeDocument/2006/relationships/table" Target="../tables/table87.xml"/><Relationship Id="rId36" Type="http://schemas.openxmlformats.org/officeDocument/2006/relationships/table" Target="../tables/table95.xml"/><Relationship Id="rId49" Type="http://schemas.openxmlformats.org/officeDocument/2006/relationships/table" Target="../tables/table108.xml"/><Relationship Id="rId57" Type="http://schemas.openxmlformats.org/officeDocument/2006/relationships/table" Target="../tables/table116.xml"/><Relationship Id="rId10" Type="http://schemas.openxmlformats.org/officeDocument/2006/relationships/table" Target="../tables/table69.xml"/><Relationship Id="rId31" Type="http://schemas.openxmlformats.org/officeDocument/2006/relationships/table" Target="../tables/table90.xml"/><Relationship Id="rId44" Type="http://schemas.openxmlformats.org/officeDocument/2006/relationships/table" Target="../tables/table103.xml"/><Relationship Id="rId52" Type="http://schemas.openxmlformats.org/officeDocument/2006/relationships/table" Target="../tables/table111.xml"/><Relationship Id="rId60" Type="http://schemas.openxmlformats.org/officeDocument/2006/relationships/table" Target="../tables/table119.xml"/><Relationship Id="rId65" Type="http://schemas.openxmlformats.org/officeDocument/2006/relationships/table" Target="../tables/table124.xml"/><Relationship Id="rId73" Type="http://schemas.openxmlformats.org/officeDocument/2006/relationships/table" Target="../tables/table132.xml"/><Relationship Id="rId78" Type="http://schemas.openxmlformats.org/officeDocument/2006/relationships/table" Target="../tables/table137.xml"/><Relationship Id="rId81" Type="http://schemas.openxmlformats.org/officeDocument/2006/relationships/table" Target="../tables/table140.xml"/><Relationship Id="rId4" Type="http://schemas.openxmlformats.org/officeDocument/2006/relationships/table" Target="../tables/table63.xml"/><Relationship Id="rId9" Type="http://schemas.openxmlformats.org/officeDocument/2006/relationships/table" Target="../tables/table68.xml"/><Relationship Id="rId13" Type="http://schemas.openxmlformats.org/officeDocument/2006/relationships/table" Target="../tables/table72.xml"/><Relationship Id="rId18" Type="http://schemas.openxmlformats.org/officeDocument/2006/relationships/table" Target="../tables/table77.xml"/><Relationship Id="rId39" Type="http://schemas.openxmlformats.org/officeDocument/2006/relationships/table" Target="../tables/table98.xml"/><Relationship Id="rId34" Type="http://schemas.openxmlformats.org/officeDocument/2006/relationships/table" Target="../tables/table93.xml"/><Relationship Id="rId50" Type="http://schemas.openxmlformats.org/officeDocument/2006/relationships/table" Target="../tables/table109.xml"/><Relationship Id="rId55" Type="http://schemas.openxmlformats.org/officeDocument/2006/relationships/table" Target="../tables/table114.xml"/><Relationship Id="rId76" Type="http://schemas.openxmlformats.org/officeDocument/2006/relationships/table" Target="../tables/table135.xml"/><Relationship Id="rId7" Type="http://schemas.openxmlformats.org/officeDocument/2006/relationships/table" Target="../tables/table66.xml"/><Relationship Id="rId71" Type="http://schemas.openxmlformats.org/officeDocument/2006/relationships/table" Target="../tables/table130.xml"/><Relationship Id="rId2" Type="http://schemas.openxmlformats.org/officeDocument/2006/relationships/table" Target="../tables/table61.xml"/><Relationship Id="rId29" Type="http://schemas.openxmlformats.org/officeDocument/2006/relationships/table" Target="../tables/table88.xml"/><Relationship Id="rId24" Type="http://schemas.openxmlformats.org/officeDocument/2006/relationships/table" Target="../tables/table83.xml"/><Relationship Id="rId40" Type="http://schemas.openxmlformats.org/officeDocument/2006/relationships/table" Target="../tables/table99.xml"/><Relationship Id="rId45" Type="http://schemas.openxmlformats.org/officeDocument/2006/relationships/table" Target="../tables/table104.xml"/><Relationship Id="rId66" Type="http://schemas.openxmlformats.org/officeDocument/2006/relationships/table" Target="../tables/table12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G95"/>
  <sheetViews>
    <sheetView tabSelected="1" zoomScale="125" zoomScaleNormal="150" workbookViewId="0">
      <selection activeCell="X2" sqref="X2"/>
    </sheetView>
  </sheetViews>
  <sheetFormatPr baseColWidth="10" defaultColWidth="9.33203125" defaultRowHeight="12.75" x14ac:dyDescent="0.2"/>
  <cols>
    <col min="1" max="1" width="4.6640625" customWidth="1"/>
    <col min="2" max="2" width="13.33203125" customWidth="1"/>
    <col min="3" max="3" width="10.6640625" customWidth="1"/>
    <col min="4" max="4" width="5.6640625" customWidth="1"/>
    <col min="5" max="5" width="3.1640625" customWidth="1"/>
    <col min="6" max="6" width="6.33203125" customWidth="1"/>
    <col min="7" max="7" width="4.5" customWidth="1"/>
    <col min="8" max="8" width="3" customWidth="1"/>
    <col min="9" max="9" width="7.6640625" customWidth="1"/>
    <col min="10" max="10" width="3.33203125" customWidth="1"/>
    <col min="11" max="11" width="7.1640625" customWidth="1"/>
    <col min="12" max="12" width="1.1640625" customWidth="1"/>
    <col min="13" max="13" width="3.33203125" customWidth="1"/>
    <col min="14" max="14" width="1.83203125" customWidth="1"/>
    <col min="15" max="15" width="4.6640625" customWidth="1"/>
    <col min="16" max="16" width="6.1640625" customWidth="1"/>
    <col min="17" max="17" width="3.5" customWidth="1"/>
    <col min="18" max="18" width="4.6640625" customWidth="1"/>
    <col min="19" max="19" width="6.5" customWidth="1"/>
    <col min="20" max="20" width="1.5" customWidth="1"/>
    <col min="21" max="21" width="5.1640625" customWidth="1"/>
    <col min="22" max="22" width="2.1640625" customWidth="1"/>
    <col min="23" max="23" width="7.6640625" customWidth="1"/>
    <col min="24" max="24" width="7" customWidth="1"/>
    <col min="25" max="25" width="4.6640625" customWidth="1"/>
    <col min="26" max="26" width="1.1640625" customWidth="1"/>
    <col min="27" max="27" width="4.6640625" customWidth="1"/>
    <col min="28" max="28" width="0.33203125" customWidth="1"/>
    <col min="29" max="29" width="0.6640625" customWidth="1"/>
    <col min="30" max="30" width="0.5" customWidth="1"/>
    <col min="31" max="31" width="5.6640625" customWidth="1"/>
    <col min="34" max="34" width="30" customWidth="1"/>
    <col min="36" max="36" width="14" customWidth="1"/>
    <col min="38" max="38" width="17.1640625" customWidth="1"/>
  </cols>
  <sheetData>
    <row r="1" spans="1:33" x14ac:dyDescent="0.2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8" t="s">
        <v>1</v>
      </c>
      <c r="P1" s="198"/>
      <c r="Q1" s="198"/>
      <c r="R1" s="198"/>
      <c r="S1" s="199"/>
      <c r="T1" s="184" t="s">
        <v>2</v>
      </c>
      <c r="U1" s="185"/>
      <c r="V1" s="185"/>
      <c r="W1" s="185"/>
      <c r="X1" s="185"/>
      <c r="Y1" s="185"/>
      <c r="Z1" s="185"/>
      <c r="AA1" s="185"/>
      <c r="AB1" s="185"/>
      <c r="AC1" s="185"/>
      <c r="AD1" s="186"/>
    </row>
    <row r="2" spans="1:33" ht="14.25" x14ac:dyDescent="0.2">
      <c r="A2" s="200" t="s">
        <v>3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2"/>
      <c r="O2" s="189" t="s">
        <v>4</v>
      </c>
      <c r="P2" s="190"/>
      <c r="Q2" s="191">
        <v>24</v>
      </c>
      <c r="R2" s="192"/>
      <c r="S2" s="192"/>
      <c r="T2" s="192"/>
      <c r="U2" s="193"/>
      <c r="V2" s="189" t="s">
        <v>5</v>
      </c>
      <c r="W2" s="190"/>
      <c r="X2" s="25">
        <v>12</v>
      </c>
      <c r="Y2" s="187" t="s">
        <v>27</v>
      </c>
      <c r="Z2" s="188"/>
      <c r="AA2" s="194">
        <v>2025</v>
      </c>
      <c r="AB2" s="195"/>
      <c r="AC2" s="195"/>
      <c r="AD2" s="196"/>
      <c r="AG2" s="1"/>
    </row>
    <row r="3" spans="1:33" ht="14.25" x14ac:dyDescent="0.2">
      <c r="A3" s="141" t="s">
        <v>101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17" t="s">
        <v>43</v>
      </c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</row>
    <row r="4" spans="1:33" ht="14.25" x14ac:dyDescent="0.2">
      <c r="A4" s="141" t="s">
        <v>102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3"/>
      <c r="O4" s="100" t="s">
        <v>342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2"/>
    </row>
    <row r="5" spans="1:33" ht="14.25" x14ac:dyDescent="0.2">
      <c r="A5" s="141" t="s">
        <v>124</v>
      </c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3"/>
      <c r="O5" s="100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2"/>
    </row>
    <row r="6" spans="1:33" ht="14.25" x14ac:dyDescent="0.2">
      <c r="A6" s="141" t="s">
        <v>30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17" t="s">
        <v>394</v>
      </c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</row>
    <row r="7" spans="1:33" ht="17.25" customHeight="1" x14ac:dyDescent="0.2">
      <c r="A7" s="126" t="s">
        <v>125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06" t="s">
        <v>104</v>
      </c>
      <c r="P7" s="107"/>
      <c r="Q7" s="111"/>
      <c r="R7" s="112"/>
      <c r="S7" s="108"/>
      <c r="T7" s="109"/>
      <c r="U7" s="109"/>
      <c r="V7" s="110"/>
      <c r="W7" s="28" t="s">
        <v>105</v>
      </c>
      <c r="X7" s="26"/>
      <c r="Y7" s="108"/>
      <c r="Z7" s="109"/>
      <c r="AA7" s="109"/>
      <c r="AB7" s="109"/>
      <c r="AC7" s="109"/>
      <c r="AD7" s="110"/>
    </row>
    <row r="8" spans="1:33" ht="14.25" x14ac:dyDescent="0.2">
      <c r="A8" s="137" t="s">
        <v>29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17" t="s">
        <v>395</v>
      </c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</row>
    <row r="9" spans="1:33" x14ac:dyDescent="0.2">
      <c r="A9" s="131" t="s">
        <v>103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3"/>
      <c r="O9" s="103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5"/>
    </row>
    <row r="10" spans="1:33" ht="20.25" hidden="1" customHeight="1" x14ac:dyDescent="0.2">
      <c r="A10" s="134"/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</row>
    <row r="11" spans="1:33" ht="52.5" customHeight="1" x14ac:dyDescent="0.2">
      <c r="A11" s="124" t="s">
        <v>6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17" t="s">
        <v>397</v>
      </c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</row>
    <row r="12" spans="1:33" ht="28.5" customHeight="1" x14ac:dyDescent="0.2">
      <c r="A12" s="126" t="s">
        <v>123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18" t="s">
        <v>396</v>
      </c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</row>
    <row r="13" spans="1:33" ht="15" customHeight="1" x14ac:dyDescent="0.2">
      <c r="A13" s="119" t="s">
        <v>7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</row>
    <row r="14" spans="1:33" ht="15" customHeight="1" x14ac:dyDescent="0.2">
      <c r="A14" s="120" t="s">
        <v>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</row>
    <row r="15" spans="1:33" ht="15" customHeight="1" x14ac:dyDescent="0.2">
      <c r="A15" s="120" t="s">
        <v>19</v>
      </c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</row>
    <row r="16" spans="1:33" ht="4.5" customHeight="1" x14ac:dyDescent="0.2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</row>
    <row r="17" spans="1:30" ht="36" customHeight="1" x14ac:dyDescent="0.2">
      <c r="A17" s="29" t="s">
        <v>127</v>
      </c>
      <c r="B17" s="30" t="s">
        <v>126</v>
      </c>
      <c r="C17" s="35" t="s">
        <v>28</v>
      </c>
      <c r="D17" s="240" t="s">
        <v>391</v>
      </c>
      <c r="E17" s="241"/>
      <c r="F17" s="241"/>
      <c r="G17" s="241"/>
      <c r="H17" s="241"/>
      <c r="I17" s="241"/>
      <c r="J17" s="241"/>
      <c r="K17" s="242"/>
      <c r="L17" s="247" t="s">
        <v>130</v>
      </c>
      <c r="M17" s="248"/>
      <c r="N17" s="248"/>
      <c r="O17" s="248"/>
      <c r="P17" s="248"/>
      <c r="Q17" s="248"/>
      <c r="R17" s="248"/>
      <c r="S17" s="249"/>
      <c r="T17" s="128" t="s">
        <v>131</v>
      </c>
      <c r="U17" s="129"/>
      <c r="V17" s="129"/>
      <c r="W17" s="129"/>
      <c r="X17" s="129"/>
      <c r="Y17" s="129"/>
      <c r="Z17" s="129"/>
      <c r="AA17" s="129"/>
      <c r="AB17" s="129"/>
      <c r="AC17" s="129"/>
      <c r="AD17" s="130"/>
    </row>
    <row r="18" spans="1:30" ht="101.25" customHeight="1" x14ac:dyDescent="0.2">
      <c r="A18" s="36">
        <f>IF(B18&lt;&gt;"", 1, "")</f>
        <v>1</v>
      </c>
      <c r="B18" s="65" t="s">
        <v>129</v>
      </c>
      <c r="C18" s="37" t="s">
        <v>136</v>
      </c>
      <c r="D18" s="123" t="s">
        <v>160</v>
      </c>
      <c r="E18" s="123"/>
      <c r="F18" s="113" t="s">
        <v>169</v>
      </c>
      <c r="G18" s="113"/>
      <c r="H18" s="113"/>
      <c r="I18" s="113"/>
      <c r="J18" s="113"/>
      <c r="K18" s="113"/>
      <c r="L18" s="243" t="s">
        <v>403</v>
      </c>
      <c r="M18" s="114"/>
      <c r="N18" s="114"/>
      <c r="O18" s="114"/>
      <c r="P18" s="114"/>
      <c r="Q18" s="114"/>
      <c r="R18" s="114"/>
      <c r="S18" s="115"/>
      <c r="T18" s="144"/>
      <c r="U18" s="114"/>
      <c r="V18" s="114"/>
      <c r="W18" s="114"/>
      <c r="X18" s="114"/>
      <c r="Y18" s="114"/>
      <c r="Z18" s="114"/>
      <c r="AA18" s="114"/>
      <c r="AB18" s="114"/>
      <c r="AC18" s="114"/>
      <c r="AD18" s="115"/>
    </row>
    <row r="19" spans="1:30" ht="66" customHeight="1" x14ac:dyDescent="0.2">
      <c r="A19" s="36" t="str">
        <f>IF(B19&lt;&gt;"", 2, "")</f>
        <v/>
      </c>
      <c r="B19" s="65"/>
      <c r="C19" s="37"/>
      <c r="D19" s="123"/>
      <c r="E19" s="123"/>
      <c r="F19" s="113"/>
      <c r="G19" s="113"/>
      <c r="H19" s="113"/>
      <c r="I19" s="113"/>
      <c r="J19" s="113"/>
      <c r="K19" s="113"/>
      <c r="L19" s="243"/>
      <c r="M19" s="114"/>
      <c r="N19" s="114"/>
      <c r="O19" s="114"/>
      <c r="P19" s="114"/>
      <c r="Q19" s="114"/>
      <c r="R19" s="114"/>
      <c r="S19" s="115"/>
      <c r="T19" s="144"/>
      <c r="U19" s="114"/>
      <c r="V19" s="114"/>
      <c r="W19" s="114"/>
      <c r="X19" s="114"/>
      <c r="Y19" s="114"/>
      <c r="Z19" s="114"/>
      <c r="AA19" s="114"/>
      <c r="AB19" s="114"/>
      <c r="AC19" s="114"/>
      <c r="AD19" s="115"/>
    </row>
    <row r="20" spans="1:30" ht="65.25" customHeight="1" x14ac:dyDescent="0.2">
      <c r="A20" s="36" t="str">
        <f>IF(B20&lt;&gt;"", 3, "")</f>
        <v/>
      </c>
      <c r="B20" s="65"/>
      <c r="C20" s="37"/>
      <c r="D20" s="123"/>
      <c r="E20" s="123"/>
      <c r="F20" s="113"/>
      <c r="G20" s="113"/>
      <c r="H20" s="113"/>
      <c r="I20" s="113"/>
      <c r="J20" s="113"/>
      <c r="K20" s="113"/>
      <c r="L20" s="114"/>
      <c r="M20" s="114"/>
      <c r="N20" s="114"/>
      <c r="O20" s="114"/>
      <c r="P20" s="114"/>
      <c r="Q20" s="114"/>
      <c r="R20" s="114"/>
      <c r="S20" s="115"/>
      <c r="T20" s="144"/>
      <c r="U20" s="114"/>
      <c r="V20" s="114"/>
      <c r="W20" s="114"/>
      <c r="X20" s="114"/>
      <c r="Y20" s="114"/>
      <c r="Z20" s="114"/>
      <c r="AA20" s="114"/>
      <c r="AB20" s="114"/>
      <c r="AC20" s="114"/>
      <c r="AD20" s="115"/>
    </row>
    <row r="21" spans="1:30" ht="41.25" customHeight="1" x14ac:dyDescent="0.2">
      <c r="A21" s="36" t="str">
        <f>IF(B21&lt;&gt;"", 4, "")</f>
        <v/>
      </c>
      <c r="B21" s="65"/>
      <c r="C21" s="37"/>
      <c r="D21" s="123"/>
      <c r="E21" s="123"/>
      <c r="F21" s="113"/>
      <c r="G21" s="113"/>
      <c r="H21" s="113"/>
      <c r="I21" s="113"/>
      <c r="J21" s="113"/>
      <c r="K21" s="113"/>
      <c r="L21" s="243"/>
      <c r="M21" s="114"/>
      <c r="N21" s="114"/>
      <c r="O21" s="114"/>
      <c r="P21" s="114"/>
      <c r="Q21" s="114"/>
      <c r="R21" s="114"/>
      <c r="S21" s="115"/>
      <c r="T21" s="144"/>
      <c r="U21" s="114"/>
      <c r="V21" s="114"/>
      <c r="W21" s="114"/>
      <c r="X21" s="114"/>
      <c r="Y21" s="114"/>
      <c r="Z21" s="114"/>
      <c r="AA21" s="114"/>
      <c r="AB21" s="114"/>
      <c r="AC21" s="114"/>
      <c r="AD21" s="115"/>
    </row>
    <row r="22" spans="1:30" ht="11.25" hidden="1" customHeight="1" x14ac:dyDescent="0.2">
      <c r="A22" s="36" t="str">
        <f>IF(B22&lt;&gt;"", 5, "")</f>
        <v/>
      </c>
      <c r="B22" s="65"/>
      <c r="C22" s="37"/>
      <c r="D22" s="123"/>
      <c r="E22" s="123"/>
      <c r="F22" s="113"/>
      <c r="G22" s="113"/>
      <c r="H22" s="113"/>
      <c r="I22" s="113"/>
      <c r="J22" s="113"/>
      <c r="K22" s="113"/>
      <c r="L22" s="243"/>
      <c r="M22" s="114"/>
      <c r="N22" s="114"/>
      <c r="O22" s="114"/>
      <c r="P22" s="114"/>
      <c r="Q22" s="114"/>
      <c r="R22" s="114"/>
      <c r="S22" s="115"/>
      <c r="T22" s="144"/>
      <c r="U22" s="114"/>
      <c r="V22" s="114"/>
      <c r="W22" s="114"/>
      <c r="X22" s="114"/>
      <c r="Y22" s="114"/>
      <c r="Z22" s="114"/>
      <c r="AA22" s="114"/>
      <c r="AB22" s="114"/>
      <c r="AC22" s="114"/>
      <c r="AD22" s="115"/>
    </row>
    <row r="23" spans="1:30" ht="12" hidden="1" customHeight="1" x14ac:dyDescent="0.2">
      <c r="A23" s="36" t="str">
        <f>IF(B23&lt;&gt;"", 6, "")</f>
        <v/>
      </c>
      <c r="B23" s="65"/>
      <c r="C23" s="37"/>
      <c r="D23" s="123"/>
      <c r="E23" s="123"/>
      <c r="F23" s="113"/>
      <c r="G23" s="113"/>
      <c r="H23" s="113"/>
      <c r="I23" s="113"/>
      <c r="J23" s="113"/>
      <c r="K23" s="113"/>
      <c r="L23" s="243"/>
      <c r="M23" s="114"/>
      <c r="N23" s="114"/>
      <c r="O23" s="114"/>
      <c r="P23" s="114"/>
      <c r="Q23" s="114"/>
      <c r="R23" s="114"/>
      <c r="S23" s="115"/>
      <c r="T23" s="244"/>
      <c r="U23" s="245"/>
      <c r="V23" s="245"/>
      <c r="W23" s="245"/>
      <c r="X23" s="245"/>
      <c r="Y23" s="245"/>
      <c r="Z23" s="245"/>
      <c r="AA23" s="245"/>
      <c r="AB23" s="245"/>
      <c r="AC23" s="245"/>
      <c r="AD23" s="246"/>
    </row>
    <row r="24" spans="1:30" ht="12" customHeight="1" x14ac:dyDescent="0.2">
      <c r="A24" s="36" t="str">
        <f>IF(B24&lt;&gt;"", 7, "")</f>
        <v/>
      </c>
      <c r="B24" s="65"/>
      <c r="C24" s="37"/>
      <c r="D24" s="123"/>
      <c r="E24" s="123"/>
      <c r="F24" s="113"/>
      <c r="G24" s="113"/>
      <c r="H24" s="113"/>
      <c r="I24" s="113"/>
      <c r="J24" s="113"/>
      <c r="K24" s="113"/>
      <c r="L24" s="203"/>
      <c r="M24" s="203"/>
      <c r="N24" s="203"/>
      <c r="O24" s="203"/>
      <c r="P24" s="203"/>
      <c r="Q24" s="203"/>
      <c r="R24" s="203"/>
      <c r="S24" s="203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</row>
    <row r="25" spans="1:30" ht="15" customHeight="1" x14ac:dyDescent="0.2">
      <c r="A25" s="250" t="s">
        <v>99</v>
      </c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251"/>
      <c r="Z25" s="251"/>
      <c r="AA25" s="251"/>
      <c r="AB25" s="251"/>
      <c r="AC25" s="251"/>
      <c r="AD25" s="251"/>
    </row>
    <row r="26" spans="1:30" ht="30.75" customHeight="1" x14ac:dyDescent="0.2">
      <c r="A26" s="239" t="s">
        <v>118</v>
      </c>
      <c r="B26" s="239"/>
      <c r="C26" s="239"/>
      <c r="D26" s="239"/>
      <c r="E26" s="239"/>
      <c r="F26" s="239"/>
      <c r="G26" s="239"/>
      <c r="H26" s="239"/>
      <c r="I26" s="239"/>
      <c r="J26" s="239"/>
      <c r="K26" s="239"/>
      <c r="L26" s="239"/>
      <c r="M26" s="239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</row>
    <row r="27" spans="1:30" ht="44.25" customHeight="1" x14ac:dyDescent="0.2">
      <c r="A27" s="38" t="s">
        <v>127</v>
      </c>
      <c r="B27" s="30" t="s">
        <v>126</v>
      </c>
      <c r="C27" s="47" t="s">
        <v>28</v>
      </c>
      <c r="D27" s="240" t="s">
        <v>391</v>
      </c>
      <c r="E27" s="241"/>
      <c r="F27" s="241"/>
      <c r="G27" s="241"/>
      <c r="H27" s="241"/>
      <c r="I27" s="241"/>
      <c r="J27" s="241"/>
      <c r="K27" s="242"/>
      <c r="L27" s="247" t="s">
        <v>353</v>
      </c>
      <c r="M27" s="248"/>
      <c r="N27" s="248"/>
      <c r="O27" s="248"/>
      <c r="P27" s="248"/>
      <c r="Q27" s="248"/>
      <c r="R27" s="248"/>
      <c r="S27" s="249"/>
      <c r="T27" s="128" t="s">
        <v>354</v>
      </c>
      <c r="U27" s="129"/>
      <c r="V27" s="129"/>
      <c r="W27" s="129"/>
      <c r="X27" s="129"/>
      <c r="Y27" s="129"/>
      <c r="Z27" s="129"/>
      <c r="AA27" s="129"/>
      <c r="AB27" s="129"/>
      <c r="AC27" s="129"/>
      <c r="AD27" s="130"/>
    </row>
    <row r="28" spans="1:30" ht="153" customHeight="1" x14ac:dyDescent="0.2">
      <c r="A28" s="46">
        <f>IF(B28&lt;&gt;"", 1, "")</f>
        <v>1</v>
      </c>
      <c r="B28" s="25" t="s">
        <v>129</v>
      </c>
      <c r="C28" s="27" t="s">
        <v>136</v>
      </c>
      <c r="D28" s="167" t="s">
        <v>164</v>
      </c>
      <c r="E28" s="168"/>
      <c r="F28" s="169" t="s">
        <v>175</v>
      </c>
      <c r="G28" s="116"/>
      <c r="H28" s="116" t="s">
        <v>177</v>
      </c>
      <c r="I28" s="116"/>
      <c r="J28" s="116"/>
      <c r="K28" s="116"/>
      <c r="L28" s="182" t="s">
        <v>404</v>
      </c>
      <c r="M28" s="69"/>
      <c r="N28" s="69"/>
      <c r="O28" s="69"/>
      <c r="P28" s="69"/>
      <c r="Q28" s="69"/>
      <c r="R28" s="69"/>
      <c r="S28" s="79"/>
      <c r="T28" s="183" t="s">
        <v>398</v>
      </c>
      <c r="U28" s="69"/>
      <c r="V28" s="69"/>
      <c r="W28" s="69"/>
      <c r="X28" s="69"/>
      <c r="Y28" s="69"/>
      <c r="Z28" s="69"/>
      <c r="AA28" s="69"/>
      <c r="AB28" s="69"/>
      <c r="AC28" s="69"/>
      <c r="AD28" s="79"/>
    </row>
    <row r="29" spans="1:30" ht="89.25" customHeight="1" x14ac:dyDescent="0.2">
      <c r="A29" s="46" t="str">
        <f>IF(B29&lt;&gt;"", 2, "")</f>
        <v/>
      </c>
      <c r="B29" s="25"/>
      <c r="C29" s="27"/>
      <c r="D29" s="167"/>
      <c r="E29" s="168"/>
      <c r="F29" s="169"/>
      <c r="G29" s="116"/>
      <c r="H29" s="116"/>
      <c r="I29" s="116"/>
      <c r="J29" s="116"/>
      <c r="K29" s="116"/>
      <c r="L29" s="182"/>
      <c r="M29" s="69"/>
      <c r="N29" s="69"/>
      <c r="O29" s="69"/>
      <c r="P29" s="69"/>
      <c r="Q29" s="69"/>
      <c r="R29" s="69"/>
      <c r="S29" s="79"/>
      <c r="T29" s="183"/>
      <c r="U29" s="69"/>
      <c r="V29" s="69"/>
      <c r="W29" s="69"/>
      <c r="X29" s="69"/>
      <c r="Y29" s="69"/>
      <c r="Z29" s="69"/>
      <c r="AA29" s="69"/>
      <c r="AB29" s="69"/>
      <c r="AC29" s="69"/>
      <c r="AD29" s="79"/>
    </row>
    <row r="30" spans="1:30" ht="117" customHeight="1" x14ac:dyDescent="0.2">
      <c r="A30" s="46" t="str">
        <f>IF(B30&lt;&gt;"", 3, "")</f>
        <v/>
      </c>
      <c r="B30" s="25"/>
      <c r="C30" s="27"/>
      <c r="D30" s="167"/>
      <c r="E30" s="168"/>
      <c r="F30" s="169"/>
      <c r="G30" s="116"/>
      <c r="H30" s="116"/>
      <c r="I30" s="116"/>
      <c r="J30" s="116"/>
      <c r="K30" s="116"/>
      <c r="L30" s="255"/>
      <c r="M30" s="69"/>
      <c r="N30" s="69"/>
      <c r="O30" s="69"/>
      <c r="P30" s="69"/>
      <c r="Q30" s="69"/>
      <c r="R30" s="69"/>
      <c r="S30" s="79"/>
      <c r="T30" s="183"/>
      <c r="U30" s="69"/>
      <c r="V30" s="69"/>
      <c r="W30" s="69"/>
      <c r="X30" s="69"/>
      <c r="Y30" s="69"/>
      <c r="Z30" s="69"/>
      <c r="AA30" s="69"/>
      <c r="AB30" s="69"/>
      <c r="AC30" s="69"/>
      <c r="AD30" s="79"/>
    </row>
    <row r="31" spans="1:30" ht="144.75" customHeight="1" x14ac:dyDescent="0.2">
      <c r="A31" s="46" t="str">
        <f>IF(B31&lt;&gt;"", 4, "")</f>
        <v/>
      </c>
      <c r="B31" s="25"/>
      <c r="C31" s="27"/>
      <c r="D31" s="167"/>
      <c r="E31" s="168"/>
      <c r="F31" s="169"/>
      <c r="G31" s="116"/>
      <c r="H31" s="116"/>
      <c r="I31" s="116"/>
      <c r="J31" s="116"/>
      <c r="K31" s="116"/>
      <c r="L31" s="182"/>
      <c r="M31" s="69"/>
      <c r="N31" s="69"/>
      <c r="O31" s="69"/>
      <c r="P31" s="69"/>
      <c r="Q31" s="69"/>
      <c r="R31" s="69"/>
      <c r="S31" s="79"/>
      <c r="T31" s="183"/>
      <c r="U31" s="69"/>
      <c r="V31" s="69"/>
      <c r="W31" s="69"/>
      <c r="X31" s="69"/>
      <c r="Y31" s="69"/>
      <c r="Z31" s="69"/>
      <c r="AA31" s="69"/>
      <c r="AB31" s="69"/>
      <c r="AC31" s="69"/>
      <c r="AD31" s="79"/>
    </row>
    <row r="32" spans="1:30" ht="12" customHeight="1" x14ac:dyDescent="0.2">
      <c r="A32" s="46" t="str">
        <f>IF(B32&lt;&gt;"", 5, "")</f>
        <v/>
      </c>
      <c r="B32" s="25"/>
      <c r="C32" s="27"/>
      <c r="D32" s="167"/>
      <c r="E32" s="168"/>
      <c r="F32" s="169"/>
      <c r="G32" s="116"/>
      <c r="H32" s="116"/>
      <c r="I32" s="116"/>
      <c r="J32" s="116"/>
      <c r="K32" s="116"/>
      <c r="L32" s="78"/>
      <c r="M32" s="69"/>
      <c r="N32" s="69"/>
      <c r="O32" s="69"/>
      <c r="P32" s="69"/>
      <c r="Q32" s="69"/>
      <c r="R32" s="69"/>
      <c r="S32" s="79"/>
      <c r="T32" s="68"/>
      <c r="U32" s="69"/>
      <c r="V32" s="69"/>
      <c r="W32" s="69"/>
      <c r="X32" s="69"/>
      <c r="Y32" s="69"/>
      <c r="Z32" s="69"/>
      <c r="AA32" s="69"/>
      <c r="AB32" s="69"/>
      <c r="AC32" s="69"/>
      <c r="AD32" s="79"/>
    </row>
    <row r="33" spans="1:30" ht="0.75" customHeight="1" x14ac:dyDescent="0.2">
      <c r="A33" s="46" t="str">
        <f>IF(B33&lt;&gt;"", 6, "")</f>
        <v/>
      </c>
      <c r="B33" s="25"/>
      <c r="C33" s="27"/>
      <c r="D33" s="167"/>
      <c r="E33" s="168"/>
      <c r="F33" s="169"/>
      <c r="G33" s="116"/>
      <c r="H33" s="116"/>
      <c r="I33" s="116"/>
      <c r="J33" s="116"/>
      <c r="K33" s="116"/>
      <c r="L33" s="78"/>
      <c r="M33" s="69"/>
      <c r="N33" s="69"/>
      <c r="O33" s="69"/>
      <c r="P33" s="69"/>
      <c r="Q33" s="69"/>
      <c r="R33" s="69"/>
      <c r="S33" s="79"/>
      <c r="T33" s="159"/>
      <c r="U33" s="160"/>
      <c r="V33" s="160"/>
      <c r="W33" s="160"/>
      <c r="X33" s="160"/>
      <c r="Y33" s="160"/>
      <c r="Z33" s="160"/>
      <c r="AA33" s="160"/>
      <c r="AB33" s="160"/>
      <c r="AC33" s="160"/>
      <c r="AD33" s="161"/>
    </row>
    <row r="34" spans="1:30" ht="12" hidden="1" customHeight="1" x14ac:dyDescent="0.2">
      <c r="A34" s="46" t="str">
        <f>IF(B34&lt;&gt;"", 7, "")</f>
        <v/>
      </c>
      <c r="B34" s="25"/>
      <c r="C34" s="27"/>
      <c r="D34" s="167"/>
      <c r="E34" s="168"/>
      <c r="F34" s="169"/>
      <c r="G34" s="116"/>
      <c r="H34" s="116"/>
      <c r="I34" s="116"/>
      <c r="J34" s="116"/>
      <c r="K34" s="116"/>
      <c r="L34" s="76"/>
      <c r="M34" s="76"/>
      <c r="N34" s="76"/>
      <c r="O34" s="76"/>
      <c r="P34" s="76"/>
      <c r="Q34" s="76"/>
      <c r="R34" s="76"/>
      <c r="S34" s="76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</row>
    <row r="35" spans="1:30" ht="15" x14ac:dyDescent="0.2">
      <c r="A35" s="251" t="s">
        <v>9</v>
      </c>
      <c r="B35" s="251"/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  <c r="W35" s="251"/>
      <c r="X35" s="251"/>
      <c r="Y35" s="251"/>
      <c r="Z35" s="251"/>
      <c r="AA35" s="251"/>
      <c r="AB35" s="251"/>
      <c r="AC35" s="251"/>
      <c r="AD35" s="251"/>
    </row>
    <row r="36" spans="1:30" ht="14.25" x14ac:dyDescent="0.2">
      <c r="A36" s="256" t="s">
        <v>10</v>
      </c>
      <c r="B36" s="256"/>
      <c r="C36" s="256"/>
      <c r="D36" s="256"/>
      <c r="E36" s="256"/>
      <c r="F36" s="256"/>
      <c r="G36" s="256"/>
      <c r="H36" s="256"/>
      <c r="I36" s="256"/>
      <c r="J36" s="256"/>
      <c r="K36" s="256"/>
      <c r="L36" s="256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  <c r="AB36" s="256"/>
      <c r="AC36" s="256"/>
      <c r="AD36" s="256"/>
    </row>
    <row r="37" spans="1:30" ht="37.5" customHeight="1" x14ac:dyDescent="0.2">
      <c r="A37" s="29" t="s">
        <v>127</v>
      </c>
      <c r="B37" s="30" t="s">
        <v>126</v>
      </c>
      <c r="C37" s="35" t="s">
        <v>28</v>
      </c>
      <c r="D37" s="240" t="s">
        <v>391</v>
      </c>
      <c r="E37" s="241"/>
      <c r="F37" s="241"/>
      <c r="G37" s="241"/>
      <c r="H37" s="241"/>
      <c r="I37" s="241"/>
      <c r="J37" s="241"/>
      <c r="K37" s="242"/>
      <c r="L37" s="247" t="s">
        <v>355</v>
      </c>
      <c r="M37" s="248"/>
      <c r="N37" s="248"/>
      <c r="O37" s="248"/>
      <c r="P37" s="248"/>
      <c r="Q37" s="248"/>
      <c r="R37" s="248"/>
      <c r="S37" s="249"/>
      <c r="T37" s="128" t="s">
        <v>356</v>
      </c>
      <c r="U37" s="129"/>
      <c r="V37" s="129"/>
      <c r="W37" s="129"/>
      <c r="X37" s="129"/>
      <c r="Y37" s="129"/>
      <c r="Z37" s="129"/>
      <c r="AA37" s="129"/>
      <c r="AB37" s="129"/>
      <c r="AC37" s="129"/>
      <c r="AD37" s="130"/>
    </row>
    <row r="38" spans="1:30" ht="91.5" customHeight="1" x14ac:dyDescent="0.2">
      <c r="A38" s="46">
        <f>IF(B38&lt;&gt;"", 1, "")</f>
        <v>1</v>
      </c>
      <c r="B38" s="25" t="s">
        <v>129</v>
      </c>
      <c r="C38" s="31" t="s">
        <v>137</v>
      </c>
      <c r="D38" s="167" t="s">
        <v>182</v>
      </c>
      <c r="E38" s="168"/>
      <c r="F38" s="169" t="s">
        <v>201</v>
      </c>
      <c r="G38" s="116"/>
      <c r="H38" s="116"/>
      <c r="I38" s="116"/>
      <c r="J38" s="116"/>
      <c r="K38" s="116"/>
      <c r="L38" s="252" t="s">
        <v>405</v>
      </c>
      <c r="M38" s="253"/>
      <c r="N38" s="253"/>
      <c r="O38" s="253"/>
      <c r="P38" s="253"/>
      <c r="Q38" s="253"/>
      <c r="R38" s="253"/>
      <c r="S38" s="254"/>
      <c r="T38" s="138" t="s">
        <v>406</v>
      </c>
      <c r="U38" s="253"/>
      <c r="V38" s="253"/>
      <c r="W38" s="253"/>
      <c r="X38" s="253"/>
      <c r="Y38" s="253"/>
      <c r="Z38" s="253"/>
      <c r="AA38" s="253"/>
      <c r="AB38" s="253"/>
      <c r="AC38" s="253"/>
      <c r="AD38" s="254"/>
    </row>
    <row r="39" spans="1:30" ht="0.75" customHeight="1" x14ac:dyDescent="0.2">
      <c r="A39" s="46" t="str">
        <f>IF(B39&lt;&gt;"", 2, "")</f>
        <v/>
      </c>
      <c r="B39" s="25"/>
      <c r="C39" s="31"/>
      <c r="D39" s="167"/>
      <c r="E39" s="168"/>
      <c r="F39" s="169"/>
      <c r="G39" s="116"/>
      <c r="H39" s="116"/>
      <c r="I39" s="116"/>
      <c r="J39" s="116"/>
      <c r="K39" s="116"/>
      <c r="L39" s="252"/>
      <c r="M39" s="253"/>
      <c r="N39" s="253"/>
      <c r="O39" s="253"/>
      <c r="P39" s="253"/>
      <c r="Q39" s="253"/>
      <c r="R39" s="253"/>
      <c r="S39" s="254"/>
      <c r="T39" s="138"/>
      <c r="U39" s="253"/>
      <c r="V39" s="253"/>
      <c r="W39" s="253"/>
      <c r="X39" s="253"/>
      <c r="Y39" s="253"/>
      <c r="Z39" s="253"/>
      <c r="AA39" s="253"/>
      <c r="AB39" s="253"/>
      <c r="AC39" s="253"/>
      <c r="AD39" s="254"/>
    </row>
    <row r="40" spans="1:30" ht="11.25" hidden="1" customHeight="1" x14ac:dyDescent="0.2">
      <c r="A40" s="46" t="str">
        <f>IF(B40&lt;&gt;"", 3, "")</f>
        <v/>
      </c>
      <c r="B40" s="25"/>
      <c r="C40" s="31"/>
      <c r="D40" s="167"/>
      <c r="E40" s="168"/>
      <c r="F40" s="169"/>
      <c r="G40" s="116"/>
      <c r="H40" s="116"/>
      <c r="I40" s="116"/>
      <c r="J40" s="116"/>
      <c r="K40" s="116"/>
      <c r="L40" s="260"/>
      <c r="M40" s="253"/>
      <c r="N40" s="253"/>
      <c r="O40" s="253"/>
      <c r="P40" s="253"/>
      <c r="Q40" s="253"/>
      <c r="R40" s="253"/>
      <c r="S40" s="254"/>
      <c r="T40" s="138"/>
      <c r="U40" s="253"/>
      <c r="V40" s="253"/>
      <c r="W40" s="253"/>
      <c r="X40" s="253"/>
      <c r="Y40" s="253"/>
      <c r="Z40" s="253"/>
      <c r="AA40" s="253"/>
      <c r="AB40" s="253"/>
      <c r="AC40" s="253"/>
      <c r="AD40" s="254"/>
    </row>
    <row r="41" spans="1:30" ht="12" hidden="1" customHeight="1" x14ac:dyDescent="0.2">
      <c r="A41" s="46" t="str">
        <f>IF(B41&lt;&gt;"", 4, "")</f>
        <v/>
      </c>
      <c r="B41" s="25"/>
      <c r="C41" s="2"/>
      <c r="D41" s="167"/>
      <c r="E41" s="168"/>
      <c r="F41" s="169"/>
      <c r="G41" s="116"/>
      <c r="H41" s="116"/>
      <c r="I41" s="116"/>
      <c r="J41" s="116"/>
      <c r="K41" s="116"/>
      <c r="L41" s="252"/>
      <c r="M41" s="253"/>
      <c r="N41" s="253"/>
      <c r="O41" s="253"/>
      <c r="P41" s="253"/>
      <c r="Q41" s="253"/>
      <c r="R41" s="253"/>
      <c r="S41" s="254"/>
      <c r="T41" s="138"/>
      <c r="U41" s="253"/>
      <c r="V41" s="253"/>
      <c r="W41" s="253"/>
      <c r="X41" s="253"/>
      <c r="Y41" s="253"/>
      <c r="Z41" s="253"/>
      <c r="AA41" s="253"/>
      <c r="AB41" s="253"/>
      <c r="AC41" s="253"/>
      <c r="AD41" s="254"/>
    </row>
    <row r="42" spans="1:30" ht="12.75" customHeight="1" x14ac:dyDescent="0.2">
      <c r="A42" s="46" t="str">
        <f>IF(B42&lt;&gt;"", 5, "")</f>
        <v/>
      </c>
      <c r="B42" s="25"/>
      <c r="C42" s="31"/>
      <c r="D42" s="167"/>
      <c r="E42" s="168"/>
      <c r="F42" s="169"/>
      <c r="G42" s="116"/>
      <c r="H42" s="116"/>
      <c r="I42" s="116"/>
      <c r="J42" s="116"/>
      <c r="K42" s="116"/>
      <c r="L42" s="252"/>
      <c r="M42" s="253"/>
      <c r="N42" s="253"/>
      <c r="O42" s="253"/>
      <c r="P42" s="253"/>
      <c r="Q42" s="253"/>
      <c r="R42" s="253"/>
      <c r="S42" s="254"/>
      <c r="T42" s="138"/>
      <c r="U42" s="253"/>
      <c r="V42" s="253"/>
      <c r="W42" s="253"/>
      <c r="X42" s="253"/>
      <c r="Y42" s="253"/>
      <c r="Z42" s="253"/>
      <c r="AA42" s="253"/>
      <c r="AB42" s="253"/>
      <c r="AC42" s="253"/>
      <c r="AD42" s="254"/>
    </row>
    <row r="43" spans="1:30" ht="0.75" customHeight="1" x14ac:dyDescent="0.2">
      <c r="A43" s="46" t="str">
        <f>IF(B43&lt;&gt;"", 6, "")</f>
        <v/>
      </c>
      <c r="B43" s="25"/>
      <c r="C43" s="31"/>
      <c r="D43" s="167"/>
      <c r="E43" s="168"/>
      <c r="F43" s="169"/>
      <c r="G43" s="116"/>
      <c r="H43" s="116"/>
      <c r="I43" s="116"/>
      <c r="J43" s="116"/>
      <c r="K43" s="116"/>
      <c r="L43" s="252"/>
      <c r="M43" s="253"/>
      <c r="N43" s="253"/>
      <c r="O43" s="253"/>
      <c r="P43" s="253"/>
      <c r="Q43" s="253"/>
      <c r="R43" s="253"/>
      <c r="S43" s="254"/>
      <c r="T43" s="261"/>
      <c r="U43" s="262"/>
      <c r="V43" s="262"/>
      <c r="W43" s="262"/>
      <c r="X43" s="262"/>
      <c r="Y43" s="262"/>
      <c r="Z43" s="262"/>
      <c r="AA43" s="262"/>
      <c r="AB43" s="262"/>
      <c r="AC43" s="262"/>
      <c r="AD43" s="263"/>
    </row>
    <row r="44" spans="1:30" ht="12" customHeight="1" x14ac:dyDescent="0.2">
      <c r="A44" s="46" t="str">
        <f>IF(B44&lt;&gt;"", 7, "")</f>
        <v/>
      </c>
      <c r="B44" s="25"/>
      <c r="C44" s="31"/>
      <c r="D44" s="167"/>
      <c r="E44" s="168"/>
      <c r="F44" s="169"/>
      <c r="G44" s="116"/>
      <c r="H44" s="116"/>
      <c r="I44" s="116"/>
      <c r="J44" s="116"/>
      <c r="K44" s="116"/>
      <c r="L44" s="170"/>
      <c r="M44" s="170"/>
      <c r="N44" s="170"/>
      <c r="O44" s="170"/>
      <c r="P44" s="170"/>
      <c r="Q44" s="170"/>
      <c r="R44" s="170"/>
      <c r="S44" s="170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</row>
    <row r="45" spans="1:30" x14ac:dyDescent="0.2">
      <c r="A45" s="179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1"/>
    </row>
    <row r="46" spans="1:30" ht="15" x14ac:dyDescent="0.2">
      <c r="A46" s="175" t="s">
        <v>98</v>
      </c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</row>
    <row r="47" spans="1:30" ht="15" x14ac:dyDescent="0.2">
      <c r="A47" s="88" t="s">
        <v>11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</row>
    <row r="48" spans="1:30" ht="54" customHeight="1" x14ac:dyDescent="0.2">
      <c r="A48" s="172" t="s">
        <v>126</v>
      </c>
      <c r="B48" s="172"/>
      <c r="C48" s="173" t="s">
        <v>357</v>
      </c>
      <c r="D48" s="173"/>
      <c r="E48" s="173"/>
      <c r="F48" s="173"/>
      <c r="G48" s="173"/>
      <c r="H48" s="173"/>
      <c r="I48" s="173"/>
      <c r="J48" s="174"/>
      <c r="K48" s="171" t="s">
        <v>12</v>
      </c>
      <c r="L48" s="152"/>
      <c r="M48" s="152"/>
      <c r="N48" s="152"/>
      <c r="O48" s="152"/>
      <c r="P48" s="153"/>
      <c r="Q48" s="171" t="s">
        <v>13</v>
      </c>
      <c r="R48" s="152"/>
      <c r="S48" s="152"/>
      <c r="T48" s="152"/>
      <c r="U48" s="152"/>
      <c r="V48" s="177" t="s">
        <v>390</v>
      </c>
      <c r="W48" s="178"/>
      <c r="X48" s="178"/>
      <c r="Y48" s="178"/>
      <c r="Z48" s="178"/>
      <c r="AA48" s="178"/>
      <c r="AB48" s="178"/>
      <c r="AC48" s="178"/>
      <c r="AD48" s="178"/>
    </row>
    <row r="49" spans="1:30" ht="12.95" customHeight="1" x14ac:dyDescent="0.2">
      <c r="A49" s="72"/>
      <c r="B49" s="74"/>
      <c r="C49" s="78"/>
      <c r="D49" s="69"/>
      <c r="E49" s="69"/>
      <c r="F49" s="69"/>
      <c r="G49" s="69"/>
      <c r="H49" s="69"/>
      <c r="I49" s="69"/>
      <c r="J49" s="79"/>
      <c r="K49" s="68"/>
      <c r="L49" s="69"/>
      <c r="M49" s="69"/>
      <c r="N49" s="69"/>
      <c r="O49" s="69"/>
      <c r="P49" s="79"/>
      <c r="Q49" s="68"/>
      <c r="R49" s="69"/>
      <c r="S49" s="69"/>
      <c r="T49" s="69"/>
      <c r="U49" s="69"/>
      <c r="V49" s="71"/>
      <c r="W49" s="71"/>
      <c r="X49" s="71"/>
      <c r="Y49" s="71"/>
      <c r="Z49" s="71"/>
      <c r="AA49" s="71"/>
      <c r="AB49" s="71"/>
      <c r="AC49" s="71"/>
      <c r="AD49" s="71"/>
    </row>
    <row r="50" spans="1:30" ht="12.75" hidden="1" customHeight="1" x14ac:dyDescent="0.2">
      <c r="A50" s="71"/>
      <c r="B50" s="71"/>
      <c r="C50" s="78"/>
      <c r="D50" s="69"/>
      <c r="E50" s="69"/>
      <c r="F50" s="69"/>
      <c r="G50" s="69"/>
      <c r="H50" s="69"/>
      <c r="I50" s="69"/>
      <c r="J50" s="79"/>
      <c r="K50" s="68"/>
      <c r="L50" s="69"/>
      <c r="M50" s="69"/>
      <c r="N50" s="69"/>
      <c r="O50" s="69"/>
      <c r="P50" s="79"/>
      <c r="Q50" s="68"/>
      <c r="R50" s="69"/>
      <c r="S50" s="69"/>
      <c r="T50" s="69"/>
      <c r="U50" s="69"/>
      <c r="V50" s="71"/>
      <c r="W50" s="71"/>
      <c r="X50" s="71"/>
      <c r="Y50" s="71"/>
      <c r="Z50" s="71"/>
      <c r="AA50" s="71"/>
      <c r="AB50" s="71"/>
      <c r="AC50" s="71"/>
      <c r="AD50" s="71"/>
    </row>
    <row r="51" spans="1:30" ht="12.75" customHeight="1" x14ac:dyDescent="0.2">
      <c r="A51" s="71"/>
      <c r="B51" s="71"/>
      <c r="C51" s="78"/>
      <c r="D51" s="69"/>
      <c r="E51" s="69"/>
      <c r="F51" s="69"/>
      <c r="G51" s="69"/>
      <c r="H51" s="69"/>
      <c r="I51" s="69"/>
      <c r="J51" s="79"/>
      <c r="K51" s="68"/>
      <c r="L51" s="69"/>
      <c r="M51" s="69"/>
      <c r="N51" s="69"/>
      <c r="O51" s="69"/>
      <c r="P51" s="79"/>
      <c r="Q51" s="68"/>
      <c r="R51" s="69"/>
      <c r="S51" s="69"/>
      <c r="T51" s="69"/>
      <c r="U51" s="70"/>
      <c r="V51" s="72"/>
      <c r="W51" s="73"/>
      <c r="X51" s="73"/>
      <c r="Y51" s="73"/>
      <c r="Z51" s="73"/>
      <c r="AA51" s="73"/>
      <c r="AB51" s="73"/>
      <c r="AC51" s="73"/>
      <c r="AD51" s="74"/>
    </row>
    <row r="52" spans="1:30" ht="12.75" hidden="1" customHeight="1" x14ac:dyDescent="0.2">
      <c r="A52" s="71"/>
      <c r="B52" s="71"/>
      <c r="C52" s="75"/>
      <c r="D52" s="76"/>
      <c r="E52" s="76"/>
      <c r="F52" s="76"/>
      <c r="G52" s="76"/>
      <c r="H52" s="76"/>
      <c r="I52" s="76"/>
      <c r="J52" s="77"/>
      <c r="K52" s="159"/>
      <c r="L52" s="160"/>
      <c r="M52" s="160"/>
      <c r="N52" s="160"/>
      <c r="O52" s="160"/>
      <c r="P52" s="161"/>
      <c r="Q52" s="159"/>
      <c r="R52" s="160"/>
      <c r="S52" s="160"/>
      <c r="T52" s="160"/>
      <c r="U52" s="163"/>
      <c r="V52" s="164"/>
      <c r="W52" s="165"/>
      <c r="X52" s="165"/>
      <c r="Y52" s="165"/>
      <c r="Z52" s="165"/>
      <c r="AA52" s="165"/>
      <c r="AB52" s="165"/>
      <c r="AC52" s="165"/>
      <c r="AD52" s="166"/>
    </row>
    <row r="53" spans="1:30" ht="12.75" hidden="1" customHeight="1" x14ac:dyDescent="0.2">
      <c r="A53" s="71"/>
      <c r="B53" s="71"/>
      <c r="C53" s="72"/>
      <c r="D53" s="73"/>
      <c r="E53" s="73"/>
      <c r="F53" s="73"/>
      <c r="G53" s="73"/>
      <c r="H53" s="73"/>
      <c r="I53" s="73"/>
      <c r="J53" s="74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48"/>
      <c r="W53" s="49"/>
      <c r="X53" s="49"/>
      <c r="Y53" s="49"/>
      <c r="Z53" s="49"/>
      <c r="AA53" s="49"/>
      <c r="AB53" s="49"/>
      <c r="AC53" s="49"/>
      <c r="AD53" s="50"/>
    </row>
    <row r="54" spans="1:30" ht="15" customHeight="1" x14ac:dyDescent="0.2">
      <c r="A54" s="145" t="s">
        <v>224</v>
      </c>
      <c r="B54" s="145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</row>
    <row r="55" spans="1:30" ht="15" customHeight="1" x14ac:dyDescent="0.2">
      <c r="A55" s="145" t="s">
        <v>225</v>
      </c>
      <c r="B55" s="145"/>
      <c r="C55" s="72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4"/>
    </row>
    <row r="56" spans="1:30" ht="19.5" customHeight="1" x14ac:dyDescent="0.2">
      <c r="A56" s="88" t="s">
        <v>14</v>
      </c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</row>
    <row r="57" spans="1:30" ht="39.75" customHeight="1" x14ac:dyDescent="0.2">
      <c r="A57" s="128" t="s">
        <v>15</v>
      </c>
      <c r="B57" s="129"/>
      <c r="C57" s="149"/>
      <c r="D57" s="149"/>
      <c r="E57" s="150"/>
      <c r="F57" s="151" t="s">
        <v>358</v>
      </c>
      <c r="G57" s="152"/>
      <c r="H57" s="152"/>
      <c r="I57" s="152"/>
      <c r="J57" s="152"/>
      <c r="K57" s="152"/>
      <c r="L57" s="152"/>
      <c r="M57" s="152"/>
      <c r="N57" s="152"/>
      <c r="O57" s="152"/>
      <c r="P57" s="153"/>
      <c r="Q57" s="151" t="s">
        <v>359</v>
      </c>
      <c r="R57" s="152"/>
      <c r="S57" s="152"/>
      <c r="T57" s="152"/>
      <c r="U57" s="152"/>
      <c r="V57" s="157" t="s">
        <v>16</v>
      </c>
      <c r="W57" s="158"/>
      <c r="X57" s="158"/>
      <c r="Y57" s="158"/>
      <c r="Z57" s="158"/>
      <c r="AA57" s="158"/>
      <c r="AB57" s="158"/>
      <c r="AC57" s="158"/>
      <c r="AD57" s="158"/>
    </row>
    <row r="58" spans="1:30" ht="0.75" hidden="1" customHeight="1" x14ac:dyDescent="0.2">
      <c r="A58" s="273" t="s">
        <v>17</v>
      </c>
      <c r="B58" s="274"/>
      <c r="C58" s="51" t="s">
        <v>226</v>
      </c>
      <c r="D58" s="147"/>
      <c r="E58" s="148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5"/>
      <c r="Q58" s="156"/>
      <c r="R58" s="154"/>
      <c r="S58" s="154"/>
      <c r="T58" s="154"/>
      <c r="U58" s="154"/>
      <c r="V58" s="71"/>
      <c r="W58" s="71"/>
      <c r="X58" s="71"/>
      <c r="Y58" s="71"/>
      <c r="Z58" s="71"/>
      <c r="AA58" s="71"/>
      <c r="AB58" s="71"/>
      <c r="AC58" s="71"/>
      <c r="AD58" s="71"/>
    </row>
    <row r="59" spans="1:30" ht="36" hidden="1" customHeight="1" x14ac:dyDescent="0.2">
      <c r="A59" s="275" t="s">
        <v>228</v>
      </c>
      <c r="B59" s="276"/>
      <c r="C59" s="51" t="s">
        <v>226</v>
      </c>
      <c r="D59" s="147"/>
      <c r="E59" s="148"/>
      <c r="F59" s="78"/>
      <c r="G59" s="69"/>
      <c r="H59" s="69"/>
      <c r="I59" s="69"/>
      <c r="J59" s="69"/>
      <c r="K59" s="69"/>
      <c r="L59" s="69"/>
      <c r="M59" s="69"/>
      <c r="N59" s="69"/>
      <c r="O59" s="69"/>
      <c r="P59" s="79"/>
      <c r="Q59" s="68"/>
      <c r="R59" s="69"/>
      <c r="S59" s="69"/>
      <c r="T59" s="69"/>
      <c r="U59" s="70"/>
      <c r="V59" s="72"/>
      <c r="W59" s="73"/>
      <c r="X59" s="73"/>
      <c r="Y59" s="73"/>
      <c r="Z59" s="73"/>
      <c r="AA59" s="73"/>
      <c r="AB59" s="73"/>
      <c r="AC59" s="73"/>
      <c r="AD59" s="74"/>
    </row>
    <row r="60" spans="1:30" ht="15" x14ac:dyDescent="0.2">
      <c r="A60" s="273" t="s">
        <v>17</v>
      </c>
      <c r="B60" s="274"/>
      <c r="C60" s="51" t="s">
        <v>226</v>
      </c>
      <c r="D60" s="147"/>
      <c r="E60" s="148"/>
      <c r="F60" s="78"/>
      <c r="G60" s="69"/>
      <c r="H60" s="69"/>
      <c r="I60" s="69"/>
      <c r="J60" s="69"/>
      <c r="K60" s="69"/>
      <c r="L60" s="69"/>
      <c r="M60" s="69"/>
      <c r="N60" s="69"/>
      <c r="O60" s="69"/>
      <c r="P60" s="79"/>
      <c r="Q60" s="68"/>
      <c r="R60" s="69"/>
      <c r="S60" s="69"/>
      <c r="T60" s="69"/>
      <c r="U60" s="70"/>
      <c r="V60" s="72"/>
      <c r="W60" s="73"/>
      <c r="X60" s="73"/>
      <c r="Y60" s="73"/>
      <c r="Z60" s="73"/>
      <c r="AA60" s="73"/>
      <c r="AB60" s="73"/>
      <c r="AC60" s="73"/>
      <c r="AD60" s="74"/>
    </row>
    <row r="61" spans="1:30" ht="24" customHeight="1" x14ac:dyDescent="0.2">
      <c r="A61" s="275" t="s">
        <v>228</v>
      </c>
      <c r="B61" s="276"/>
      <c r="C61" s="51" t="s">
        <v>226</v>
      </c>
      <c r="D61" s="147"/>
      <c r="E61" s="148"/>
      <c r="F61" s="78"/>
      <c r="G61" s="69"/>
      <c r="H61" s="69"/>
      <c r="I61" s="69"/>
      <c r="J61" s="69"/>
      <c r="K61" s="69"/>
      <c r="L61" s="69"/>
      <c r="M61" s="69"/>
      <c r="N61" s="69"/>
      <c r="O61" s="69"/>
      <c r="P61" s="79"/>
      <c r="Q61" s="68"/>
      <c r="R61" s="69"/>
      <c r="S61" s="69"/>
      <c r="T61" s="69"/>
      <c r="U61" s="70"/>
      <c r="V61" s="72"/>
      <c r="W61" s="73"/>
      <c r="X61" s="73"/>
      <c r="Y61" s="73"/>
      <c r="Z61" s="73"/>
      <c r="AA61" s="73"/>
      <c r="AB61" s="73"/>
      <c r="AC61" s="73"/>
      <c r="AD61" s="74"/>
    </row>
    <row r="62" spans="1:30" ht="21.75" hidden="1" customHeight="1" x14ac:dyDescent="0.2">
      <c r="A62" s="273" t="s">
        <v>17</v>
      </c>
      <c r="B62" s="274"/>
      <c r="C62" s="51" t="s">
        <v>226</v>
      </c>
      <c r="D62" s="147"/>
      <c r="E62" s="148"/>
      <c r="F62" s="78"/>
      <c r="G62" s="69"/>
      <c r="H62" s="69"/>
      <c r="I62" s="69"/>
      <c r="J62" s="69"/>
      <c r="K62" s="69"/>
      <c r="L62" s="69"/>
      <c r="M62" s="69"/>
      <c r="N62" s="69"/>
      <c r="O62" s="69"/>
      <c r="P62" s="79"/>
      <c r="Q62" s="68"/>
      <c r="R62" s="69"/>
      <c r="S62" s="69"/>
      <c r="T62" s="69"/>
      <c r="U62" s="70"/>
      <c r="V62" s="72"/>
      <c r="W62" s="73"/>
      <c r="X62" s="73"/>
      <c r="Y62" s="73"/>
      <c r="Z62" s="73"/>
      <c r="AA62" s="73"/>
      <c r="AB62" s="73"/>
      <c r="AC62" s="73"/>
      <c r="AD62" s="74"/>
    </row>
    <row r="63" spans="1:30" ht="27.75" hidden="1" customHeight="1" x14ac:dyDescent="0.2">
      <c r="A63" s="275" t="s">
        <v>228</v>
      </c>
      <c r="B63" s="276"/>
      <c r="C63" s="51" t="s">
        <v>226</v>
      </c>
      <c r="D63" s="147"/>
      <c r="E63" s="148"/>
      <c r="F63" s="282"/>
      <c r="G63" s="282"/>
      <c r="H63" s="282"/>
      <c r="I63" s="282"/>
      <c r="J63" s="282"/>
      <c r="K63" s="282"/>
      <c r="L63" s="282"/>
      <c r="M63" s="282"/>
      <c r="N63" s="282"/>
      <c r="O63" s="282"/>
      <c r="P63" s="294"/>
      <c r="Q63" s="281"/>
      <c r="R63" s="282"/>
      <c r="S63" s="282"/>
      <c r="T63" s="282"/>
      <c r="U63" s="282"/>
      <c r="V63" s="162"/>
      <c r="W63" s="162"/>
      <c r="X63" s="162"/>
      <c r="Y63" s="162"/>
      <c r="Z63" s="162"/>
      <c r="AA63" s="162"/>
      <c r="AB63" s="162"/>
      <c r="AC63" s="162"/>
      <c r="AD63" s="162"/>
    </row>
    <row r="64" spans="1:30" ht="15" customHeight="1" x14ac:dyDescent="0.2">
      <c r="A64" s="272" t="s">
        <v>224</v>
      </c>
      <c r="B64" s="272"/>
      <c r="C64" s="278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79"/>
      <c r="Q64" s="279"/>
      <c r="R64" s="279"/>
      <c r="S64" s="279"/>
      <c r="T64" s="279"/>
      <c r="U64" s="279"/>
      <c r="V64" s="279"/>
      <c r="W64" s="279"/>
      <c r="X64" s="279"/>
      <c r="Y64" s="279"/>
      <c r="Z64" s="279"/>
      <c r="AA64" s="279"/>
      <c r="AB64" s="279"/>
      <c r="AC64" s="279"/>
      <c r="AD64" s="280"/>
    </row>
    <row r="65" spans="1:30" ht="15" customHeight="1" x14ac:dyDescent="0.2">
      <c r="A65" s="145" t="s">
        <v>225</v>
      </c>
      <c r="B65" s="145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  <c r="AA65" s="284"/>
      <c r="AB65" s="284"/>
      <c r="AC65" s="284"/>
      <c r="AD65" s="284"/>
    </row>
    <row r="66" spans="1:30" ht="28.5" customHeight="1" x14ac:dyDescent="0.2">
      <c r="A66" s="285" t="s">
        <v>100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Z66" s="286"/>
      <c r="AA66" s="286"/>
      <c r="AB66" s="286"/>
      <c r="AC66" s="286"/>
      <c r="AD66" s="286"/>
    </row>
    <row r="67" spans="1:30" ht="37.5" customHeight="1" x14ac:dyDescent="0.2">
      <c r="A67" s="291" t="s">
        <v>126</v>
      </c>
      <c r="B67" s="292"/>
      <c r="C67" s="289" t="s">
        <v>119</v>
      </c>
      <c r="D67" s="290"/>
      <c r="E67" s="287" t="s">
        <v>120</v>
      </c>
      <c r="F67" s="287"/>
      <c r="G67" s="287"/>
      <c r="H67" s="287"/>
      <c r="I67" s="287"/>
      <c r="J67" s="277" t="s">
        <v>121</v>
      </c>
      <c r="K67" s="277"/>
      <c r="L67" s="277"/>
      <c r="M67" s="277"/>
      <c r="N67" s="288" t="s">
        <v>20</v>
      </c>
      <c r="O67" s="288"/>
      <c r="P67" s="288"/>
      <c r="Q67" s="288"/>
      <c r="R67" s="277" t="s">
        <v>21</v>
      </c>
      <c r="S67" s="277"/>
      <c r="T67" s="277"/>
      <c r="U67" s="277"/>
      <c r="V67" s="277" t="s">
        <v>22</v>
      </c>
      <c r="W67" s="277"/>
      <c r="X67" s="277"/>
      <c r="Y67" s="293" t="s">
        <v>23</v>
      </c>
      <c r="Z67" s="293"/>
      <c r="AA67" s="293"/>
      <c r="AB67" s="293"/>
      <c r="AC67" s="293"/>
      <c r="AD67" s="293"/>
    </row>
    <row r="68" spans="1:30" hidden="1" x14ac:dyDescent="0.2">
      <c r="A68" s="283"/>
      <c r="B68" s="139"/>
      <c r="C68" s="71"/>
      <c r="D68" s="71"/>
      <c r="E68" s="69"/>
      <c r="F68" s="69"/>
      <c r="G68" s="69"/>
      <c r="H68" s="69"/>
      <c r="I68" s="69"/>
      <c r="J68" s="71"/>
      <c r="K68" s="71"/>
      <c r="L68" s="71"/>
      <c r="M68" s="71"/>
      <c r="N68" s="69"/>
      <c r="O68" s="69"/>
      <c r="P68" s="69"/>
      <c r="Q68" s="69"/>
      <c r="R68" s="83"/>
      <c r="S68" s="71"/>
      <c r="T68" s="71"/>
      <c r="U68" s="71"/>
      <c r="V68" s="83"/>
      <c r="W68" s="83"/>
      <c r="X68" s="83"/>
      <c r="Y68" s="83"/>
      <c r="Z68" s="83"/>
      <c r="AA68" s="83"/>
      <c r="AB68" s="83"/>
      <c r="AC68" s="83"/>
      <c r="AD68" s="83"/>
    </row>
    <row r="69" spans="1:30" ht="12" customHeight="1" x14ac:dyDescent="0.2">
      <c r="A69" s="138"/>
      <c r="B69" s="139"/>
      <c r="C69" s="71"/>
      <c r="D69" s="71"/>
      <c r="E69" s="69"/>
      <c r="F69" s="69"/>
      <c r="G69" s="69"/>
      <c r="H69" s="69"/>
      <c r="I69" s="69"/>
      <c r="J69" s="71"/>
      <c r="K69" s="71"/>
      <c r="L69" s="71"/>
      <c r="M69" s="71"/>
      <c r="N69" s="69"/>
      <c r="O69" s="69"/>
      <c r="P69" s="69"/>
      <c r="Q69" s="69"/>
      <c r="R69" s="71"/>
      <c r="S69" s="71"/>
      <c r="T69" s="71"/>
      <c r="U69" s="71"/>
      <c r="V69" s="85"/>
      <c r="W69" s="86"/>
      <c r="X69" s="87"/>
      <c r="Y69" s="83"/>
      <c r="Z69" s="83"/>
      <c r="AA69" s="83"/>
      <c r="AB69" s="83"/>
      <c r="AC69" s="83"/>
      <c r="AD69" s="83"/>
    </row>
    <row r="70" spans="1:30" ht="12.75" hidden="1" customHeight="1" x14ac:dyDescent="0.2">
      <c r="A70" s="138"/>
      <c r="B70" s="139"/>
      <c r="C70" s="71"/>
      <c r="D70" s="71"/>
      <c r="E70" s="69"/>
      <c r="F70" s="69"/>
      <c r="G70" s="69"/>
      <c r="H70" s="69"/>
      <c r="I70" s="69"/>
      <c r="J70" s="71"/>
      <c r="K70" s="71"/>
      <c r="L70" s="71"/>
      <c r="M70" s="71"/>
      <c r="N70" s="69"/>
      <c r="O70" s="69"/>
      <c r="P70" s="69"/>
      <c r="Q70" s="69"/>
      <c r="R70" s="71"/>
      <c r="S70" s="71"/>
      <c r="T70" s="71"/>
      <c r="U70" s="71"/>
      <c r="V70" s="83"/>
      <c r="W70" s="83"/>
      <c r="X70" s="83"/>
      <c r="Y70" s="83"/>
      <c r="Z70" s="83"/>
      <c r="AA70" s="83"/>
      <c r="AB70" s="83"/>
      <c r="AC70" s="83"/>
      <c r="AD70" s="83"/>
    </row>
    <row r="71" spans="1:30" ht="12.75" hidden="1" customHeight="1" x14ac:dyDescent="0.2">
      <c r="A71" s="138"/>
      <c r="B71" s="139"/>
      <c r="C71" s="71"/>
      <c r="D71" s="71"/>
      <c r="E71" s="160"/>
      <c r="F71" s="160"/>
      <c r="G71" s="160"/>
      <c r="H71" s="160"/>
      <c r="I71" s="160"/>
      <c r="J71" s="162"/>
      <c r="K71" s="162"/>
      <c r="L71" s="162"/>
      <c r="M71" s="162"/>
      <c r="N71" s="160"/>
      <c r="O71" s="160"/>
      <c r="P71" s="160"/>
      <c r="Q71" s="160"/>
      <c r="R71" s="162"/>
      <c r="S71" s="162"/>
      <c r="T71" s="162"/>
      <c r="U71" s="162"/>
      <c r="V71" s="84"/>
      <c r="W71" s="84"/>
      <c r="X71" s="84"/>
      <c r="Y71" s="84"/>
      <c r="Z71" s="84"/>
      <c r="AA71" s="84"/>
      <c r="AB71" s="84"/>
      <c r="AC71" s="84"/>
      <c r="AD71" s="84"/>
    </row>
    <row r="72" spans="1:30" ht="0.75" hidden="1" customHeight="1" x14ac:dyDescent="0.2">
      <c r="A72" s="138"/>
      <c r="B72" s="139"/>
      <c r="C72" s="71"/>
      <c r="D72" s="71"/>
      <c r="E72" s="74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83"/>
      <c r="W72" s="83"/>
      <c r="X72" s="83"/>
      <c r="Y72" s="83"/>
      <c r="Z72" s="83"/>
      <c r="AA72" s="83"/>
      <c r="AB72" s="83"/>
      <c r="AC72" s="83"/>
      <c r="AD72" s="83"/>
    </row>
    <row r="73" spans="1:30" ht="12.95" customHeight="1" x14ac:dyDescent="0.2">
      <c r="A73" s="138"/>
      <c r="B73" s="139"/>
      <c r="C73" s="99"/>
      <c r="D73" s="99"/>
      <c r="E73" s="140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271"/>
      <c r="W73" s="271"/>
      <c r="X73" s="271"/>
      <c r="Y73" s="271"/>
      <c r="Z73" s="271"/>
      <c r="AA73" s="271"/>
      <c r="AB73" s="271"/>
      <c r="AC73" s="271"/>
      <c r="AD73" s="271"/>
    </row>
    <row r="74" spans="1:30" ht="0.75" customHeight="1" x14ac:dyDescent="0.2">
      <c r="A74" s="138"/>
      <c r="B74" s="139"/>
      <c r="C74" s="71"/>
      <c r="D74" s="71"/>
      <c r="E74" s="73"/>
      <c r="F74" s="73"/>
      <c r="G74" s="73"/>
      <c r="H74" s="73"/>
      <c r="I74" s="74"/>
      <c r="J74" s="72"/>
      <c r="K74" s="73"/>
      <c r="L74" s="73"/>
      <c r="M74" s="74"/>
      <c r="N74" s="72"/>
      <c r="O74" s="73"/>
      <c r="P74" s="73"/>
      <c r="Q74" s="74"/>
      <c r="R74" s="72"/>
      <c r="S74" s="73"/>
      <c r="T74" s="73"/>
      <c r="U74" s="74"/>
      <c r="V74" s="85"/>
      <c r="W74" s="86"/>
      <c r="X74" s="87"/>
      <c r="Y74" s="85"/>
      <c r="Z74" s="86"/>
      <c r="AA74" s="86"/>
      <c r="AB74" s="86"/>
      <c r="AC74" s="86"/>
      <c r="AD74" s="87"/>
    </row>
    <row r="75" spans="1:30" ht="15" customHeight="1" x14ac:dyDescent="0.2">
      <c r="A75" s="272" t="s">
        <v>224</v>
      </c>
      <c r="B75" s="272"/>
      <c r="C75" s="72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4"/>
    </row>
    <row r="76" spans="1:30" ht="15" customHeight="1" x14ac:dyDescent="0.2">
      <c r="A76" s="145" t="s">
        <v>225</v>
      </c>
      <c r="B76" s="145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  <c r="AA76" s="269"/>
      <c r="AB76" s="269"/>
      <c r="AC76" s="269"/>
      <c r="AD76" s="270"/>
    </row>
    <row r="77" spans="1:30" ht="19.5" customHeight="1" x14ac:dyDescent="0.2">
      <c r="A77" s="88" t="s">
        <v>389</v>
      </c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</row>
    <row r="78" spans="1:30" ht="29.25" customHeight="1" x14ac:dyDescent="0.2">
      <c r="A78" s="89" t="s">
        <v>109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</row>
    <row r="79" spans="1:30" ht="42" customHeight="1" x14ac:dyDescent="0.2">
      <c r="A79" s="90" t="s">
        <v>399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2"/>
    </row>
    <row r="80" spans="1:30" ht="39" customHeight="1" x14ac:dyDescent="0.2">
      <c r="A80" s="93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5"/>
    </row>
    <row r="81" spans="1:30" ht="49.5" customHeight="1" x14ac:dyDescent="0.2">
      <c r="A81" s="96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8"/>
    </row>
    <row r="82" spans="1:30" ht="15" x14ac:dyDescent="0.2">
      <c r="A82" s="267" t="s">
        <v>110</v>
      </c>
      <c r="B82" s="268"/>
      <c r="C82" s="268"/>
      <c r="D82" s="268"/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  <c r="AA82" s="268"/>
      <c r="AB82" s="268"/>
      <c r="AC82" s="268"/>
      <c r="AD82" s="268"/>
    </row>
    <row r="83" spans="1:30" x14ac:dyDescent="0.2">
      <c r="A83" s="258" t="s">
        <v>122</v>
      </c>
      <c r="B83" s="258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8"/>
      <c r="N83" s="258"/>
      <c r="O83" s="258"/>
      <c r="P83" s="258"/>
      <c r="Q83" s="258"/>
      <c r="R83" s="258"/>
      <c r="S83" s="258"/>
      <c r="T83" s="258"/>
      <c r="U83" s="258"/>
      <c r="V83" s="258"/>
      <c r="W83" s="258"/>
      <c r="X83" s="258"/>
      <c r="Y83" s="258"/>
      <c r="Z83" s="258"/>
      <c r="AA83" s="258"/>
      <c r="AB83" s="258"/>
      <c r="AC83" s="258"/>
      <c r="AD83" s="258"/>
    </row>
    <row r="84" spans="1:30" ht="31.5" customHeight="1" x14ac:dyDescent="0.2">
      <c r="A84" s="259" t="s">
        <v>24</v>
      </c>
      <c r="B84" s="259"/>
      <c r="C84" s="259"/>
      <c r="D84" s="259"/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</row>
    <row r="85" spans="1:30" x14ac:dyDescent="0.2">
      <c r="A85" s="264" t="s">
        <v>360</v>
      </c>
      <c r="B85" s="265"/>
      <c r="C85" s="265"/>
      <c r="D85" s="265"/>
      <c r="E85" s="265"/>
      <c r="F85" s="265"/>
      <c r="G85" s="265"/>
      <c r="H85" s="265"/>
      <c r="I85" s="265"/>
      <c r="J85" s="265"/>
      <c r="K85" s="266"/>
      <c r="L85" s="66">
        <v>31</v>
      </c>
      <c r="M85" s="66"/>
      <c r="N85" s="66"/>
      <c r="O85" s="81" t="s">
        <v>111</v>
      </c>
      <c r="P85" s="81"/>
      <c r="Q85" s="81"/>
      <c r="R85" s="81"/>
      <c r="S85" s="81"/>
      <c r="T85" s="82"/>
      <c r="U85" s="66" t="s">
        <v>387</v>
      </c>
      <c r="V85" s="66"/>
      <c r="W85" s="66"/>
      <c r="X85" s="80" t="s">
        <v>388</v>
      </c>
      <c r="Y85" s="81"/>
      <c r="Z85" s="82"/>
      <c r="AA85" s="66">
        <v>2026</v>
      </c>
      <c r="AB85" s="66"/>
      <c r="AC85" s="66"/>
      <c r="AD85" s="66"/>
    </row>
    <row r="86" spans="1:30" ht="15" customHeight="1" x14ac:dyDescent="0.2">
      <c r="A86" s="88" t="s">
        <v>18</v>
      </c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</row>
    <row r="87" spans="1:30" ht="28.5" customHeight="1" x14ac:dyDescent="0.2">
      <c r="A87" s="257" t="s">
        <v>402</v>
      </c>
      <c r="B87" s="257"/>
      <c r="C87" s="257"/>
      <c r="D87" s="257"/>
      <c r="E87" s="257"/>
      <c r="F87" s="257"/>
      <c r="G87" s="257"/>
      <c r="H87" s="257"/>
      <c r="I87" s="257"/>
      <c r="J87" s="257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  <c r="X87" s="257"/>
      <c r="Y87" s="257"/>
      <c r="Z87" s="257"/>
      <c r="AA87" s="257"/>
      <c r="AB87" s="257"/>
      <c r="AC87" s="257"/>
      <c r="AD87" s="257"/>
    </row>
    <row r="88" spans="1:30" ht="30.75" customHeight="1" x14ac:dyDescent="0.2">
      <c r="A88" s="257"/>
      <c r="B88" s="257"/>
      <c r="C88" s="257"/>
      <c r="D88" s="257"/>
      <c r="E88" s="257"/>
      <c r="F88" s="257"/>
      <c r="G88" s="257"/>
      <c r="H88" s="257"/>
      <c r="I88" s="257"/>
      <c r="J88" s="257"/>
      <c r="K88" s="257"/>
      <c r="L88" s="257"/>
      <c r="M88" s="257"/>
      <c r="N88" s="257"/>
      <c r="O88" s="257"/>
      <c r="P88" s="257"/>
      <c r="Q88" s="257"/>
      <c r="R88" s="257"/>
      <c r="S88" s="257"/>
      <c r="T88" s="257"/>
      <c r="U88" s="257"/>
      <c r="V88" s="257"/>
      <c r="W88" s="257"/>
      <c r="X88" s="257"/>
      <c r="Y88" s="257"/>
      <c r="Z88" s="257"/>
      <c r="AA88" s="257"/>
      <c r="AB88" s="257"/>
      <c r="AC88" s="257"/>
      <c r="AD88" s="257"/>
    </row>
    <row r="89" spans="1:30" ht="112.5" customHeight="1" x14ac:dyDescent="0.2">
      <c r="A89" s="257"/>
      <c r="B89" s="257"/>
      <c r="C89" s="257"/>
      <c r="D89" s="257"/>
      <c r="E89" s="257"/>
      <c r="F89" s="257"/>
      <c r="G89" s="257"/>
      <c r="H89" s="257"/>
      <c r="I89" s="257"/>
      <c r="J89" s="257"/>
      <c r="K89" s="257"/>
      <c r="L89" s="257"/>
      <c r="M89" s="257"/>
      <c r="N89" s="257"/>
      <c r="O89" s="257"/>
      <c r="P89" s="257"/>
      <c r="Q89" s="257"/>
      <c r="R89" s="257"/>
      <c r="S89" s="257"/>
      <c r="T89" s="257"/>
      <c r="U89" s="257"/>
      <c r="V89" s="257"/>
      <c r="W89" s="257"/>
      <c r="X89" s="257"/>
      <c r="Y89" s="257"/>
      <c r="Z89" s="257"/>
      <c r="AA89" s="257"/>
      <c r="AB89" s="257"/>
      <c r="AC89" s="257"/>
      <c r="AD89" s="257"/>
    </row>
    <row r="90" spans="1:30" ht="14.25" x14ac:dyDescent="0.2">
      <c r="A90" s="207" t="s">
        <v>115</v>
      </c>
      <c r="B90" s="208"/>
      <c r="C90" s="209"/>
      <c r="D90" s="210" t="s">
        <v>393</v>
      </c>
      <c r="E90" s="211"/>
      <c r="F90" s="211"/>
      <c r="G90" s="212"/>
      <c r="H90" s="67" t="s">
        <v>112</v>
      </c>
      <c r="I90" s="67"/>
      <c r="J90" s="67"/>
      <c r="K90" s="67"/>
      <c r="L90" s="67"/>
      <c r="M90" s="211">
        <v>1</v>
      </c>
      <c r="N90" s="212"/>
      <c r="O90" s="207" t="s">
        <v>113</v>
      </c>
      <c r="P90" s="213"/>
      <c r="Q90" s="213"/>
      <c r="R90" s="213"/>
      <c r="S90" s="213"/>
      <c r="T90" s="214"/>
      <c r="U90" s="66" t="s">
        <v>377</v>
      </c>
      <c r="V90" s="66"/>
      <c r="W90" s="66"/>
      <c r="X90" s="67" t="s">
        <v>114</v>
      </c>
      <c r="Y90" s="67"/>
      <c r="Z90" s="67"/>
      <c r="AA90" s="66">
        <v>2026</v>
      </c>
      <c r="AB90" s="66"/>
      <c r="AC90" s="66"/>
      <c r="AD90" s="66"/>
    </row>
    <row r="91" spans="1:30" ht="29.25" customHeight="1" x14ac:dyDescent="0.25">
      <c r="A91" s="215" t="s">
        <v>116</v>
      </c>
      <c r="B91" s="216"/>
      <c r="C91" s="217"/>
      <c r="D91" s="218"/>
      <c r="E91" s="219"/>
      <c r="F91" s="219"/>
      <c r="G91" s="219"/>
      <c r="H91" s="219"/>
      <c r="I91" s="219"/>
      <c r="J91" s="219"/>
      <c r="K91" s="219"/>
      <c r="L91" s="220"/>
      <c r="M91" s="221" t="s">
        <v>117</v>
      </c>
      <c r="N91" s="222"/>
      <c r="O91" s="222"/>
      <c r="P91" s="222"/>
      <c r="Q91" s="222"/>
      <c r="R91" s="222"/>
      <c r="S91" s="222"/>
      <c r="T91" s="223"/>
      <c r="U91" s="224"/>
      <c r="V91" s="225"/>
      <c r="W91" s="225"/>
      <c r="X91" s="225"/>
      <c r="Y91" s="225"/>
      <c r="Z91" s="225"/>
      <c r="AA91" s="225"/>
      <c r="AB91" s="225"/>
      <c r="AC91" s="225"/>
      <c r="AD91" s="226"/>
    </row>
    <row r="92" spans="1:30" ht="14.25" x14ac:dyDescent="0.2">
      <c r="A92" s="227" t="s">
        <v>25</v>
      </c>
      <c r="B92" s="228"/>
      <c r="C92" s="229"/>
      <c r="D92" s="230" t="s">
        <v>395</v>
      </c>
      <c r="E92" s="231"/>
      <c r="F92" s="231"/>
      <c r="G92" s="231"/>
      <c r="H92" s="231"/>
      <c r="I92" s="231"/>
      <c r="J92" s="231"/>
      <c r="K92" s="231"/>
      <c r="L92" s="232"/>
      <c r="M92" s="233" t="s">
        <v>25</v>
      </c>
      <c r="N92" s="234"/>
      <c r="O92" s="234"/>
      <c r="P92" s="234"/>
      <c r="Q92" s="234"/>
      <c r="R92" s="234"/>
      <c r="S92" s="234"/>
      <c r="T92" s="235"/>
      <c r="U92" s="236" t="s">
        <v>394</v>
      </c>
      <c r="V92" s="237"/>
      <c r="W92" s="237"/>
      <c r="X92" s="237"/>
      <c r="Y92" s="237"/>
      <c r="Z92" s="237"/>
      <c r="AA92" s="237"/>
      <c r="AB92" s="237"/>
      <c r="AC92" s="237"/>
      <c r="AD92" s="238"/>
    </row>
    <row r="93" spans="1:30" ht="14.25" x14ac:dyDescent="0.2">
      <c r="A93" s="227" t="s">
        <v>26</v>
      </c>
      <c r="B93" s="228"/>
      <c r="C93" s="229"/>
      <c r="D93" s="230" t="s">
        <v>401</v>
      </c>
      <c r="E93" s="231"/>
      <c r="F93" s="231"/>
      <c r="G93" s="231"/>
      <c r="H93" s="231"/>
      <c r="I93" s="231"/>
      <c r="J93" s="231"/>
      <c r="K93" s="231"/>
      <c r="L93" s="232"/>
      <c r="M93" s="233" t="s">
        <v>26</v>
      </c>
      <c r="N93" s="234"/>
      <c r="O93" s="234"/>
      <c r="P93" s="234"/>
      <c r="Q93" s="234"/>
      <c r="R93" s="234"/>
      <c r="S93" s="234"/>
      <c r="T93" s="235"/>
      <c r="U93" s="236" t="s">
        <v>400</v>
      </c>
      <c r="V93" s="237"/>
      <c r="W93" s="237"/>
      <c r="X93" s="237"/>
      <c r="Y93" s="237"/>
      <c r="Z93" s="237"/>
      <c r="AA93" s="237"/>
      <c r="AB93" s="237"/>
      <c r="AC93" s="237"/>
      <c r="AD93" s="238"/>
    </row>
    <row r="95" spans="1:30" ht="15" x14ac:dyDescent="0.2">
      <c r="A95" s="205"/>
      <c r="B95" s="206"/>
      <c r="C95" s="206"/>
      <c r="D95" s="206"/>
      <c r="E95" s="206"/>
      <c r="F95" s="206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06"/>
      <c r="AA95" s="206"/>
      <c r="AB95" s="206"/>
      <c r="AC95" s="206"/>
      <c r="AD95" s="206"/>
    </row>
  </sheetData>
  <sheetProtection algorithmName="SHA-512" hashValue="yiCf3zJZdACZGSm52gdPnr7rJIYWAS8xdMIJShSnKR6CiELbq/4Ztd+RhLrwd5f4q5D5SAjMpRRtArG4VuPSaQ==" saltValue="gVSrbjf11Yn9z4JLU7MIsg==" spinCount="100000" sheet="1" formatRows="0" selectLockedCells="1"/>
  <dataConsolidate/>
  <mergeCells count="353">
    <mergeCell ref="D62:E62"/>
    <mergeCell ref="C65:AD65"/>
    <mergeCell ref="N69:Q69"/>
    <mergeCell ref="Y69:AD69"/>
    <mergeCell ref="V63:AD63"/>
    <mergeCell ref="A66:AD66"/>
    <mergeCell ref="E67:I67"/>
    <mergeCell ref="E68:I68"/>
    <mergeCell ref="E69:I69"/>
    <mergeCell ref="J68:M68"/>
    <mergeCell ref="J69:M69"/>
    <mergeCell ref="N67:Q67"/>
    <mergeCell ref="R67:U67"/>
    <mergeCell ref="R68:U68"/>
    <mergeCell ref="C67:D67"/>
    <mergeCell ref="A67:B67"/>
    <mergeCell ref="Y67:AD67"/>
    <mergeCell ref="Y68:AD68"/>
    <mergeCell ref="F63:P63"/>
    <mergeCell ref="V59:AD59"/>
    <mergeCell ref="V60:AD60"/>
    <mergeCell ref="V61:AD61"/>
    <mergeCell ref="V62:AD62"/>
    <mergeCell ref="Q62:U62"/>
    <mergeCell ref="Q61:U61"/>
    <mergeCell ref="Q59:U59"/>
    <mergeCell ref="F59:P59"/>
    <mergeCell ref="F60:P60"/>
    <mergeCell ref="F61:P61"/>
    <mergeCell ref="F62:P62"/>
    <mergeCell ref="C74:D74"/>
    <mergeCell ref="C73:D73"/>
    <mergeCell ref="C72:D72"/>
    <mergeCell ref="C71:D71"/>
    <mergeCell ref="C70:D70"/>
    <mergeCell ref="C69:D69"/>
    <mergeCell ref="C68:D68"/>
    <mergeCell ref="A68:B68"/>
    <mergeCell ref="A69:B69"/>
    <mergeCell ref="A70:B70"/>
    <mergeCell ref="A71:B71"/>
    <mergeCell ref="A72:B72"/>
    <mergeCell ref="A73:B73"/>
    <mergeCell ref="Y72:AD72"/>
    <mergeCell ref="V69:X69"/>
    <mergeCell ref="J73:M73"/>
    <mergeCell ref="N73:Q73"/>
    <mergeCell ref="Y73:AD73"/>
    <mergeCell ref="A58:B58"/>
    <mergeCell ref="D60:E60"/>
    <mergeCell ref="D59:E59"/>
    <mergeCell ref="A59:B59"/>
    <mergeCell ref="R69:U69"/>
    <mergeCell ref="V67:X67"/>
    <mergeCell ref="V68:X68"/>
    <mergeCell ref="C64:AD64"/>
    <mergeCell ref="A64:B64"/>
    <mergeCell ref="A63:B63"/>
    <mergeCell ref="D63:E63"/>
    <mergeCell ref="A65:B65"/>
    <mergeCell ref="D61:E61"/>
    <mergeCell ref="Q63:U63"/>
    <mergeCell ref="J67:M67"/>
    <mergeCell ref="N68:Q68"/>
    <mergeCell ref="A60:B60"/>
    <mergeCell ref="A61:B61"/>
    <mergeCell ref="A62:B62"/>
    <mergeCell ref="A85:K85"/>
    <mergeCell ref="O85:T85"/>
    <mergeCell ref="L85:N85"/>
    <mergeCell ref="A82:AD82"/>
    <mergeCell ref="E70:I70"/>
    <mergeCell ref="E71:I71"/>
    <mergeCell ref="J70:M70"/>
    <mergeCell ref="J71:M71"/>
    <mergeCell ref="R70:U70"/>
    <mergeCell ref="R71:U71"/>
    <mergeCell ref="N70:Q70"/>
    <mergeCell ref="N71:Q71"/>
    <mergeCell ref="V70:X70"/>
    <mergeCell ref="V71:X71"/>
    <mergeCell ref="A76:B76"/>
    <mergeCell ref="C76:AD76"/>
    <mergeCell ref="V73:X73"/>
    <mergeCell ref="E72:I72"/>
    <mergeCell ref="J72:M72"/>
    <mergeCell ref="N72:Q72"/>
    <mergeCell ref="R72:U72"/>
    <mergeCell ref="V72:X72"/>
    <mergeCell ref="A75:B75"/>
    <mergeCell ref="C75:AD75"/>
    <mergeCell ref="A87:AD89"/>
    <mergeCell ref="A83:AD83"/>
    <mergeCell ref="A84:AD84"/>
    <mergeCell ref="A86:AD86"/>
    <mergeCell ref="L40:S40"/>
    <mergeCell ref="T40:AD40"/>
    <mergeCell ref="D41:E41"/>
    <mergeCell ref="F41:G41"/>
    <mergeCell ref="H41:I41"/>
    <mergeCell ref="J41:K41"/>
    <mergeCell ref="L41:S41"/>
    <mergeCell ref="T41:AD41"/>
    <mergeCell ref="D43:E43"/>
    <mergeCell ref="H43:I43"/>
    <mergeCell ref="J43:K43"/>
    <mergeCell ref="L43:S43"/>
    <mergeCell ref="T43:AD43"/>
    <mergeCell ref="D42:E42"/>
    <mergeCell ref="F42:G42"/>
    <mergeCell ref="H42:I42"/>
    <mergeCell ref="J42:K42"/>
    <mergeCell ref="L42:S42"/>
    <mergeCell ref="T42:AD42"/>
    <mergeCell ref="D40:E40"/>
    <mergeCell ref="F40:G40"/>
    <mergeCell ref="H40:I40"/>
    <mergeCell ref="J40:K40"/>
    <mergeCell ref="L33:S33"/>
    <mergeCell ref="T33:AD33"/>
    <mergeCell ref="D34:E34"/>
    <mergeCell ref="F34:G34"/>
    <mergeCell ref="H34:I34"/>
    <mergeCell ref="J34:K34"/>
    <mergeCell ref="L34:S34"/>
    <mergeCell ref="T34:AD34"/>
    <mergeCell ref="T39:AD39"/>
    <mergeCell ref="D37:K37"/>
    <mergeCell ref="L37:S37"/>
    <mergeCell ref="T37:AD37"/>
    <mergeCell ref="D38:E38"/>
    <mergeCell ref="F38:G38"/>
    <mergeCell ref="H38:I38"/>
    <mergeCell ref="J38:K38"/>
    <mergeCell ref="L38:S38"/>
    <mergeCell ref="T38:AD38"/>
    <mergeCell ref="D39:E39"/>
    <mergeCell ref="F39:G39"/>
    <mergeCell ref="H39:I39"/>
    <mergeCell ref="J39:K39"/>
    <mergeCell ref="L39:S39"/>
    <mergeCell ref="T27:AD27"/>
    <mergeCell ref="D28:E28"/>
    <mergeCell ref="F28:G28"/>
    <mergeCell ref="H28:I28"/>
    <mergeCell ref="J28:K28"/>
    <mergeCell ref="L28:S28"/>
    <mergeCell ref="T28:AD28"/>
    <mergeCell ref="D29:E29"/>
    <mergeCell ref="F29:G29"/>
    <mergeCell ref="H29:I29"/>
    <mergeCell ref="J29:K29"/>
    <mergeCell ref="L29:S29"/>
    <mergeCell ref="T29:AD29"/>
    <mergeCell ref="D27:K27"/>
    <mergeCell ref="L27:S27"/>
    <mergeCell ref="H30:I30"/>
    <mergeCell ref="J30:K30"/>
    <mergeCell ref="L30:S30"/>
    <mergeCell ref="T30:AD30"/>
    <mergeCell ref="A35:AD35"/>
    <mergeCell ref="A36:AD36"/>
    <mergeCell ref="D31:E31"/>
    <mergeCell ref="A26:AD26"/>
    <mergeCell ref="D17:K17"/>
    <mergeCell ref="D23:E23"/>
    <mergeCell ref="F23:G23"/>
    <mergeCell ref="H23:I23"/>
    <mergeCell ref="D24:E24"/>
    <mergeCell ref="F24:G24"/>
    <mergeCell ref="H24:I24"/>
    <mergeCell ref="J23:K23"/>
    <mergeCell ref="L23:S23"/>
    <mergeCell ref="T23:AD23"/>
    <mergeCell ref="L17:S17"/>
    <mergeCell ref="J18:K18"/>
    <mergeCell ref="A25:AD25"/>
    <mergeCell ref="L18:S18"/>
    <mergeCell ref="L19:S19"/>
    <mergeCell ref="L21:S21"/>
    <mergeCell ref="L22:S22"/>
    <mergeCell ref="T18:AD18"/>
    <mergeCell ref="H18:I18"/>
    <mergeCell ref="A95:AD95"/>
    <mergeCell ref="A90:C90"/>
    <mergeCell ref="D90:G90"/>
    <mergeCell ref="O90:T90"/>
    <mergeCell ref="H90:L90"/>
    <mergeCell ref="M90:N90"/>
    <mergeCell ref="A91:C91"/>
    <mergeCell ref="D91:L91"/>
    <mergeCell ref="M91:T91"/>
    <mergeCell ref="U91:AD91"/>
    <mergeCell ref="A92:C92"/>
    <mergeCell ref="D92:L92"/>
    <mergeCell ref="A93:C93"/>
    <mergeCell ref="D93:L93"/>
    <mergeCell ref="M92:T92"/>
    <mergeCell ref="U92:AD92"/>
    <mergeCell ref="M93:T93"/>
    <mergeCell ref="U93:AD93"/>
    <mergeCell ref="J32:K32"/>
    <mergeCell ref="L32:S32"/>
    <mergeCell ref="T32:AD32"/>
    <mergeCell ref="T1:AD1"/>
    <mergeCell ref="Y2:Z2"/>
    <mergeCell ref="A3:N3"/>
    <mergeCell ref="V2:W2"/>
    <mergeCell ref="O2:P2"/>
    <mergeCell ref="Q2:U2"/>
    <mergeCell ref="AA2:AD2"/>
    <mergeCell ref="A1:N1"/>
    <mergeCell ref="O1:S1"/>
    <mergeCell ref="O3:AD3"/>
    <mergeCell ref="A2:N2"/>
    <mergeCell ref="A6:N6"/>
    <mergeCell ref="A7:N7"/>
    <mergeCell ref="J24:K24"/>
    <mergeCell ref="L24:S24"/>
    <mergeCell ref="D22:E22"/>
    <mergeCell ref="F22:G22"/>
    <mergeCell ref="H22:I22"/>
    <mergeCell ref="T24:AD24"/>
    <mergeCell ref="O6:AD6"/>
    <mergeCell ref="O8:AD8"/>
    <mergeCell ref="A48:B48"/>
    <mergeCell ref="C48:J48"/>
    <mergeCell ref="A49:B49"/>
    <mergeCell ref="C49:J49"/>
    <mergeCell ref="D30:E30"/>
    <mergeCell ref="F30:G30"/>
    <mergeCell ref="D33:E33"/>
    <mergeCell ref="F33:G33"/>
    <mergeCell ref="H33:I33"/>
    <mergeCell ref="J33:K33"/>
    <mergeCell ref="K48:P48"/>
    <mergeCell ref="A46:AD46"/>
    <mergeCell ref="A47:AD47"/>
    <mergeCell ref="V48:AD48"/>
    <mergeCell ref="A45:AD45"/>
    <mergeCell ref="F43:G43"/>
    <mergeCell ref="F31:G31"/>
    <mergeCell ref="H31:I31"/>
    <mergeCell ref="J31:K31"/>
    <mergeCell ref="L31:S31"/>
    <mergeCell ref="T31:AD31"/>
    <mergeCell ref="D32:E32"/>
    <mergeCell ref="F32:G32"/>
    <mergeCell ref="H32:I32"/>
    <mergeCell ref="V49:AD49"/>
    <mergeCell ref="D44:E44"/>
    <mergeCell ref="F44:G44"/>
    <mergeCell ref="H44:I44"/>
    <mergeCell ref="J44:K44"/>
    <mergeCell ref="L44:S44"/>
    <mergeCell ref="T44:AD44"/>
    <mergeCell ref="K49:P49"/>
    <mergeCell ref="Q49:U49"/>
    <mergeCell ref="Q48:U48"/>
    <mergeCell ref="A54:B54"/>
    <mergeCell ref="C55:AD55"/>
    <mergeCell ref="C54:AD54"/>
    <mergeCell ref="D58:E58"/>
    <mergeCell ref="V50:AD50"/>
    <mergeCell ref="A57:E57"/>
    <mergeCell ref="F57:P57"/>
    <mergeCell ref="Q57:U57"/>
    <mergeCell ref="F58:P58"/>
    <mergeCell ref="Q58:U58"/>
    <mergeCell ref="K50:P50"/>
    <mergeCell ref="A55:B55"/>
    <mergeCell ref="V57:AD57"/>
    <mergeCell ref="V58:AD58"/>
    <mergeCell ref="K52:P52"/>
    <mergeCell ref="K51:P51"/>
    <mergeCell ref="Q51:U51"/>
    <mergeCell ref="V51:AD51"/>
    <mergeCell ref="K53:P53"/>
    <mergeCell ref="Q53:U53"/>
    <mergeCell ref="Q52:U52"/>
    <mergeCell ref="V52:AD52"/>
    <mergeCell ref="J74:M74"/>
    <mergeCell ref="R74:U74"/>
    <mergeCell ref="V74:X74"/>
    <mergeCell ref="A74:B74"/>
    <mergeCell ref="E73:I73"/>
    <mergeCell ref="A5:N5"/>
    <mergeCell ref="A4:N4"/>
    <mergeCell ref="T22:AD22"/>
    <mergeCell ref="T21:AD21"/>
    <mergeCell ref="T20:AD20"/>
    <mergeCell ref="T19:AD19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J21:K21"/>
    <mergeCell ref="J22:K22"/>
    <mergeCell ref="Q50:U50"/>
    <mergeCell ref="A56:AD56"/>
    <mergeCell ref="O4:AD4"/>
    <mergeCell ref="O5:AD5"/>
    <mergeCell ref="O9:AD9"/>
    <mergeCell ref="O7:P7"/>
    <mergeCell ref="Y7:AD7"/>
    <mergeCell ref="Q7:R7"/>
    <mergeCell ref="S7:V7"/>
    <mergeCell ref="J19:K19"/>
    <mergeCell ref="L20:S20"/>
    <mergeCell ref="J20:K20"/>
    <mergeCell ref="O10:AD10"/>
    <mergeCell ref="O11:AD11"/>
    <mergeCell ref="O12:AD12"/>
    <mergeCell ref="A13:AD13"/>
    <mergeCell ref="A14:AD14"/>
    <mergeCell ref="A16:AD16"/>
    <mergeCell ref="A15:AD15"/>
    <mergeCell ref="F18:G18"/>
    <mergeCell ref="D18:E18"/>
    <mergeCell ref="A11:N11"/>
    <mergeCell ref="A12:N12"/>
    <mergeCell ref="T17:AD17"/>
    <mergeCell ref="A9:N10"/>
    <mergeCell ref="A8:N8"/>
    <mergeCell ref="AA85:AD85"/>
    <mergeCell ref="AA90:AD90"/>
    <mergeCell ref="X90:Z90"/>
    <mergeCell ref="U90:W90"/>
    <mergeCell ref="Q60:U60"/>
    <mergeCell ref="A50:B50"/>
    <mergeCell ref="A51:B51"/>
    <mergeCell ref="A52:B52"/>
    <mergeCell ref="A53:B53"/>
    <mergeCell ref="C53:J53"/>
    <mergeCell ref="C52:J52"/>
    <mergeCell ref="C51:J51"/>
    <mergeCell ref="C50:J50"/>
    <mergeCell ref="X85:Z85"/>
    <mergeCell ref="U85:W85"/>
    <mergeCell ref="Y70:AD70"/>
    <mergeCell ref="Y71:AD71"/>
    <mergeCell ref="Y74:AD74"/>
    <mergeCell ref="A77:AD77"/>
    <mergeCell ref="A78:AD78"/>
    <mergeCell ref="A79:AD81"/>
    <mergeCell ref="R73:U73"/>
    <mergeCell ref="N74:Q74"/>
    <mergeCell ref="E74:I74"/>
  </mergeCells>
  <phoneticPr fontId="26" type="noConversion"/>
  <conditionalFormatting sqref="Q7:R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{A1F10B1F-F57A-4789-9F03-349BEA6CFF0F}</x14:id>
        </ext>
      </extLst>
    </cfRule>
  </conditionalFormatting>
  <dataValidations xWindow="205" yWindow="623" count="107">
    <dataValidation type="list" allowBlank="1" showInputMessage="1" showErrorMessage="1" errorTitle="Error en el formato" error="Por favor seleccione un valor de la lista deplegable." promptTitle="Seleccione" prompt="Seleccione una dependencia de la lista desplegable._x000a_" sqref="O4:AD4" xr:uid="{00000000-0002-0000-0000-000000000000}">
      <formula1>INDIRECT($O$3)</formula1>
    </dataValidation>
    <dataValidation type="list" allowBlank="1" showInputMessage="1" showErrorMessage="1" sqref="J18:K18" xr:uid="{00000000-0002-0000-0000-000001000000}">
      <formula1>INDIRECT($H$18)</formula1>
    </dataValidation>
    <dataValidation type="list" allowBlank="1" showInputMessage="1" showErrorMessage="1" sqref="D18:E18" xr:uid="{00000000-0002-0000-0000-000002000000}">
      <formula1>INDIRECT($C$18)</formula1>
    </dataValidation>
    <dataValidation type="list" allowBlank="1" showErrorMessage="1" error="Seleccione el numeral de la lista desplegable" promptTitle="Seleccione" prompt="Seleccione un Numeral de la lista" sqref="F18:G18" xr:uid="{00000000-0002-0000-0000-000003000000}">
      <formula1>INDIRECT($D$18)</formula1>
    </dataValidation>
    <dataValidation type="list" allowBlank="1" showInputMessage="1" showErrorMessage="1" sqref="H18:I18" xr:uid="{00000000-0002-0000-0000-000004000000}">
      <formula1>INDIRECT($F$18)</formula1>
    </dataValidation>
    <dataValidation type="list" allowBlank="1" showInputMessage="1" showErrorMessage="1" sqref="D19:E19" xr:uid="{00000000-0002-0000-0000-000005000000}">
      <formula1>INDIRECT($C$19)</formula1>
    </dataValidation>
    <dataValidation type="list" allowBlank="1" showErrorMessage="1" error="Seleccione el numeral de la lista desplegable" promptTitle="Seleccione" prompt="Seleccione un Numeral de la lista" sqref="F19:G19" xr:uid="{00000000-0002-0000-0000-000006000000}">
      <formula1>INDIRECT($D$19)</formula1>
    </dataValidation>
    <dataValidation type="list" allowBlank="1" showInputMessage="1" showErrorMessage="1" sqref="H19:I19" xr:uid="{00000000-0002-0000-0000-000007000000}">
      <formula1>INDIRECT($F$19)</formula1>
    </dataValidation>
    <dataValidation type="list" allowBlank="1" showInputMessage="1" showErrorMessage="1" sqref="J19:K19" xr:uid="{00000000-0002-0000-0000-000008000000}">
      <formula1>INDIRECT($H$19)</formula1>
    </dataValidation>
    <dataValidation type="list" allowBlank="1" showInputMessage="1" showErrorMessage="1" promptTitle="Seleccione" prompt="Seleccione un programa de la lista desplegable._x000a_" sqref="O5:AD5" xr:uid="{00000000-0002-0000-0000-000009000000}">
      <formula1>INDIRECT(O4)</formula1>
    </dataValidation>
    <dataValidation type="list" allowBlank="1" showInputMessage="1" showErrorMessage="1" sqref="D20:E20" xr:uid="{00000000-0002-0000-0000-00000A000000}">
      <formula1>INDIRECT($C$20)</formula1>
    </dataValidation>
    <dataValidation type="list" allowBlank="1" showErrorMessage="1" error="Seleccione el numeral de la lista desplegable" promptTitle="Seleccione" prompt="Seleccione un Numeral de la lista" sqref="F20:G20" xr:uid="{00000000-0002-0000-0000-00000B000000}">
      <formula1>INDIRECT($D$20)</formula1>
    </dataValidation>
    <dataValidation type="list" allowBlank="1" showInputMessage="1" showErrorMessage="1" sqref="H20:I20" xr:uid="{00000000-0002-0000-0000-00000C000000}">
      <formula1>INDIRECT($F$20)</formula1>
    </dataValidation>
    <dataValidation type="list" allowBlank="1" showInputMessage="1" showErrorMessage="1" sqref="J20:K20" xr:uid="{00000000-0002-0000-0000-00000D000000}">
      <formula1>INDIRECT($H$20)</formula1>
    </dataValidation>
    <dataValidation type="list" allowBlank="1" showInputMessage="1" showErrorMessage="1" sqref="D21:E21" xr:uid="{00000000-0002-0000-0000-00000E000000}">
      <formula1>INDIRECT($C$21)</formula1>
    </dataValidation>
    <dataValidation type="list" allowBlank="1" showErrorMessage="1" error="Seleccione el numeral de la lista desplegable" promptTitle="Seleccione" prompt="Seleccione un Numeral de la lista" sqref="F21:G21" xr:uid="{00000000-0002-0000-0000-00000F000000}">
      <formula1>INDIRECT($D$21)</formula1>
    </dataValidation>
    <dataValidation type="list" allowBlank="1" showInputMessage="1" showErrorMessage="1" sqref="H21:I21" xr:uid="{00000000-0002-0000-0000-000010000000}">
      <formula1>INDIRECT($F$21)</formula1>
    </dataValidation>
    <dataValidation type="list" allowBlank="1" showInputMessage="1" showErrorMessage="1" sqref="J21:K21" xr:uid="{00000000-0002-0000-0000-000011000000}">
      <formula1>INDIRECT($H$21)</formula1>
    </dataValidation>
    <dataValidation type="list" allowBlank="1" showInputMessage="1" showErrorMessage="1" sqref="D22:E22" xr:uid="{00000000-0002-0000-0000-000012000000}">
      <formula1>INDIRECT($C$22)</formula1>
    </dataValidation>
    <dataValidation type="list" allowBlank="1" showErrorMessage="1" error="Seleccione el numeral de la lista desplegable" promptTitle="Seleccione" prompt="Seleccione un Numeral de la lista" sqref="F22:G22" xr:uid="{00000000-0002-0000-0000-000013000000}">
      <formula1>INDIRECT($D$22)</formula1>
    </dataValidation>
    <dataValidation type="list" allowBlank="1" showInputMessage="1" showErrorMessage="1" sqref="H22:I22" xr:uid="{00000000-0002-0000-0000-000014000000}">
      <formula1>INDIRECT($F$22)</formula1>
    </dataValidation>
    <dataValidation type="list" allowBlank="1" showInputMessage="1" showErrorMessage="1" sqref="J22:K22" xr:uid="{00000000-0002-0000-0000-000015000000}">
      <formula1>INDIRECT($H$22)</formula1>
    </dataValidation>
    <dataValidation type="list" allowBlank="1" showInputMessage="1" showErrorMessage="1" sqref="D23:E23" xr:uid="{00000000-0002-0000-0000-000016000000}">
      <formula1>INDIRECT($C$23)</formula1>
    </dataValidation>
    <dataValidation type="list" allowBlank="1" showErrorMessage="1" error="Seleccione el numeral de la lista desplegable" promptTitle="Seleccione" prompt="Seleccione un Numeral de la lista" sqref="F23:G23" xr:uid="{00000000-0002-0000-0000-000017000000}">
      <formula1>INDIRECT($D$23)</formula1>
    </dataValidation>
    <dataValidation type="list" allowBlank="1" showInputMessage="1" showErrorMessage="1" sqref="H23:I23" xr:uid="{00000000-0002-0000-0000-000018000000}">
      <formula1>INDIRECT($F$23)</formula1>
    </dataValidation>
    <dataValidation type="list" allowBlank="1" showInputMessage="1" showErrorMessage="1" sqref="J23:K23" xr:uid="{00000000-0002-0000-0000-000019000000}">
      <formula1>INDIRECT($H$23)</formula1>
    </dataValidation>
    <dataValidation type="list" allowBlank="1" showInputMessage="1" showErrorMessage="1" sqref="D24:E24" xr:uid="{00000000-0002-0000-0000-00001A000000}">
      <formula1>INDIRECT($C$24)</formula1>
    </dataValidation>
    <dataValidation type="list" allowBlank="1" showErrorMessage="1" error="Seleccione el numeral de la lista desplegable" promptTitle="Seleccione" prompt="Seleccione un Numeral de la lista" sqref="F24:G24" xr:uid="{00000000-0002-0000-0000-00001B000000}">
      <formula1>INDIRECT($D$24)</formula1>
    </dataValidation>
    <dataValidation type="list" allowBlank="1" showInputMessage="1" showErrorMessage="1" sqref="H24:I24" xr:uid="{00000000-0002-0000-0000-00001C000000}">
      <formula1>INDIRECT($F$24)</formula1>
    </dataValidation>
    <dataValidation type="list" allowBlank="1" showInputMessage="1" showErrorMessage="1" sqref="J24:K24" xr:uid="{00000000-0002-0000-0000-00001D000000}">
      <formula1>INDIRECT($H$24)</formula1>
    </dataValidation>
    <dataValidation type="list" allowBlank="1" showInputMessage="1" showErrorMessage="1" sqref="D28:E28" xr:uid="{00000000-0002-0000-0000-00001E000000}">
      <formula1>INDIRECT($C$28)</formula1>
    </dataValidation>
    <dataValidation type="list" allowBlank="1" showErrorMessage="1" error="Seleccione el numeral de la lista desplegable" promptTitle="Seleccione" prompt="Seleccione un Numeral de la lista" sqref="F28:G28" xr:uid="{00000000-0002-0000-0000-00001F000000}">
      <formula1>INDIRECT($D$28)</formula1>
    </dataValidation>
    <dataValidation type="list" allowBlank="1" showInputMessage="1" showErrorMessage="1" sqref="H28:I28" xr:uid="{00000000-0002-0000-0000-000020000000}">
      <formula1>INDIRECT($F$28)</formula1>
    </dataValidation>
    <dataValidation type="list" allowBlank="1" showInputMessage="1" showErrorMessage="1" sqref="J28:K28" xr:uid="{00000000-0002-0000-0000-000021000000}">
      <formula1>INDIRECT($H$28)</formula1>
    </dataValidation>
    <dataValidation type="list" allowBlank="1" showInputMessage="1" showErrorMessage="1" sqref="D29:E29" xr:uid="{00000000-0002-0000-0000-000022000000}">
      <formula1>INDIRECT($C$29)</formula1>
    </dataValidation>
    <dataValidation type="list" allowBlank="1" showErrorMessage="1" error="Seleccione el numeral de la lista desplegable" promptTitle="Seleccione" prompt="Seleccione un Numeral de la lista" sqref="F29:G29" xr:uid="{00000000-0002-0000-0000-000023000000}">
      <formula1>INDIRECT($D$29)</formula1>
    </dataValidation>
    <dataValidation type="list" allowBlank="1" showInputMessage="1" showErrorMessage="1" sqref="H29:I29" xr:uid="{00000000-0002-0000-0000-000024000000}">
      <formula1>INDIRECT($F$29)</formula1>
    </dataValidation>
    <dataValidation type="list" allowBlank="1" showInputMessage="1" showErrorMessage="1" sqref="J29:K29" xr:uid="{00000000-0002-0000-0000-000025000000}">
      <formula1>INDIRECT($H$29)</formula1>
    </dataValidation>
    <dataValidation type="list" allowBlank="1" showInputMessage="1" showErrorMessage="1" sqref="D30:E30" xr:uid="{00000000-0002-0000-0000-000026000000}">
      <formula1>INDIRECT($C$30)</formula1>
    </dataValidation>
    <dataValidation type="list" allowBlank="1" showErrorMessage="1" error="Seleccione el numeral de la lista desplegable" promptTitle="Seleccione" prompt="Seleccione un Numeral de la lista" sqref="F30:G30" xr:uid="{00000000-0002-0000-0000-000027000000}">
      <formula1>INDIRECT($D$30)</formula1>
    </dataValidation>
    <dataValidation type="list" allowBlank="1" showInputMessage="1" showErrorMessage="1" sqref="H30:I30" xr:uid="{00000000-0002-0000-0000-000028000000}">
      <formula1>INDIRECT($F$30)</formula1>
    </dataValidation>
    <dataValidation type="list" allowBlank="1" showInputMessage="1" showErrorMessage="1" sqref="J30:K30" xr:uid="{00000000-0002-0000-0000-000029000000}">
      <formula1>INDIRECT($H$30)</formula1>
    </dataValidation>
    <dataValidation type="list" allowBlank="1" showInputMessage="1" showErrorMessage="1" sqref="D31:E31" xr:uid="{00000000-0002-0000-0000-00002A000000}">
      <formula1>INDIRECT($C$31)</formula1>
    </dataValidation>
    <dataValidation type="list" allowBlank="1" showErrorMessage="1" error="Seleccione el numeral de la lista desplegable" promptTitle="Seleccione" prompt="Seleccione un Numeral de la lista" sqref="F31:G31" xr:uid="{00000000-0002-0000-0000-00002B000000}">
      <formula1>INDIRECT($D$31)</formula1>
    </dataValidation>
    <dataValidation type="list" allowBlank="1" showInputMessage="1" showErrorMessage="1" sqref="H31:I31" xr:uid="{00000000-0002-0000-0000-00002C000000}">
      <formula1>INDIRECT($F$31)</formula1>
    </dataValidation>
    <dataValidation type="list" allowBlank="1" showInputMessage="1" showErrorMessage="1" sqref="J31:K31" xr:uid="{00000000-0002-0000-0000-00002D000000}">
      <formula1>INDIRECT($H$31)</formula1>
    </dataValidation>
    <dataValidation type="list" allowBlank="1" showInputMessage="1" showErrorMessage="1" sqref="D32:E32" xr:uid="{00000000-0002-0000-0000-00002E000000}">
      <formula1>INDIRECT($C$32)</formula1>
    </dataValidation>
    <dataValidation type="list" allowBlank="1" showErrorMessage="1" error="Seleccione el numeral de la lista desplegable" promptTitle="Seleccione" prompt="Seleccione un Numeral de la lista" sqref="F32:G32" xr:uid="{00000000-0002-0000-0000-00002F000000}">
      <formula1>INDIRECT($D$32)</formula1>
    </dataValidation>
    <dataValidation type="list" allowBlank="1" showInputMessage="1" showErrorMessage="1" sqref="H32:I32" xr:uid="{00000000-0002-0000-0000-000030000000}">
      <formula1>INDIRECT($F$32)</formula1>
    </dataValidation>
    <dataValidation type="list" allowBlank="1" showInputMessage="1" showErrorMessage="1" sqref="J32:K32" xr:uid="{00000000-0002-0000-0000-000031000000}">
      <formula1>INDIRECT($H$32)</formula1>
    </dataValidation>
    <dataValidation type="list" allowBlank="1" showInputMessage="1" showErrorMessage="1" sqref="D33:E33" xr:uid="{00000000-0002-0000-0000-000032000000}">
      <formula1>INDIRECT($C$33)</formula1>
    </dataValidation>
    <dataValidation type="list" allowBlank="1" showErrorMessage="1" error="Seleccione el numeral de la lista desplegable" promptTitle="Seleccione" prompt="Seleccione un Numeral de la lista" sqref="F33:G33" xr:uid="{00000000-0002-0000-0000-000033000000}">
      <formula1>INDIRECT($D$33)</formula1>
    </dataValidation>
    <dataValidation type="list" allowBlank="1" showInputMessage="1" showErrorMessage="1" sqref="H33:I33" xr:uid="{00000000-0002-0000-0000-000034000000}">
      <formula1>INDIRECT($F$33)</formula1>
    </dataValidation>
    <dataValidation type="list" allowBlank="1" showInputMessage="1" showErrorMessage="1" sqref="J33:K33" xr:uid="{00000000-0002-0000-0000-000035000000}">
      <formula1>INDIRECT($H$33)</formula1>
    </dataValidation>
    <dataValidation type="list" allowBlank="1" showInputMessage="1" showErrorMessage="1" sqref="D34:E34" xr:uid="{00000000-0002-0000-0000-000036000000}">
      <formula1>INDIRECT($C$34)</formula1>
    </dataValidation>
    <dataValidation type="list" allowBlank="1" showErrorMessage="1" error="Seleccione el numeral de la lista desplegable" promptTitle="Seleccione" prompt="Seleccione un Numeral de la lista" sqref="F34:G34" xr:uid="{00000000-0002-0000-0000-000037000000}">
      <formula1>INDIRECT($D$34)</formula1>
    </dataValidation>
    <dataValidation type="list" allowBlank="1" showInputMessage="1" showErrorMessage="1" sqref="H34:I34" xr:uid="{00000000-0002-0000-0000-000038000000}">
      <formula1>INDIRECT($F$34)</formula1>
    </dataValidation>
    <dataValidation type="list" allowBlank="1" showInputMessage="1" showErrorMessage="1" sqref="J34:K34" xr:uid="{00000000-0002-0000-0000-000039000000}">
      <formula1>INDIRECT($H$34)</formula1>
    </dataValidation>
    <dataValidation type="list" allowBlank="1" showInputMessage="1" showErrorMessage="1" sqref="D38:E38" xr:uid="{00000000-0002-0000-0000-00003A000000}">
      <formula1>INDIRECT($C$38)</formula1>
    </dataValidation>
    <dataValidation type="list" allowBlank="1" showErrorMessage="1" error="Seleccione el numeral de la lista desplegable" promptTitle="Seleccione" prompt="Seleccione un Numeral de la lista" sqref="F38:G38" xr:uid="{00000000-0002-0000-0000-00003B000000}">
      <formula1>INDIRECT($D$38)</formula1>
    </dataValidation>
    <dataValidation type="list" allowBlank="1" showInputMessage="1" showErrorMessage="1" sqref="H38:I38" xr:uid="{00000000-0002-0000-0000-00003C000000}">
      <formula1>INDIRECT($F$38)</formula1>
    </dataValidation>
    <dataValidation type="list" allowBlank="1" showInputMessage="1" showErrorMessage="1" sqref="J38:K38" xr:uid="{00000000-0002-0000-0000-00003D000000}">
      <formula1>INDIRECT($H$38)</formula1>
    </dataValidation>
    <dataValidation type="list" allowBlank="1" showInputMessage="1" showErrorMessage="1" sqref="D39:E39" xr:uid="{00000000-0002-0000-0000-00003E000000}">
      <formula1>INDIRECT($C$39)</formula1>
    </dataValidation>
    <dataValidation type="list" allowBlank="1" showErrorMessage="1" error="Seleccione el numeral de la lista desplegable" promptTitle="Seleccione" prompt="Seleccione un Numeral de la lista" sqref="F39:G39" xr:uid="{00000000-0002-0000-0000-00003F000000}">
      <formula1>INDIRECT($D$39)</formula1>
    </dataValidation>
    <dataValidation type="list" allowBlank="1" showInputMessage="1" showErrorMessage="1" sqref="H39:I39" xr:uid="{00000000-0002-0000-0000-000040000000}">
      <formula1>INDIRECT($F$39)</formula1>
    </dataValidation>
    <dataValidation type="list" allowBlank="1" showInputMessage="1" showErrorMessage="1" sqref="J39:K39" xr:uid="{00000000-0002-0000-0000-000041000000}">
      <formula1>INDIRECT($H$39)</formula1>
    </dataValidation>
    <dataValidation type="list" allowBlank="1" showInputMessage="1" showErrorMessage="1" sqref="D40:E40" xr:uid="{00000000-0002-0000-0000-000042000000}">
      <formula1>INDIRECT($C$40)</formula1>
    </dataValidation>
    <dataValidation type="list" allowBlank="1" showErrorMessage="1" error="Seleccione el numeral de la lista desplegable" promptTitle="Seleccione" prompt="Seleccione un Numeral de la lista" sqref="F40:G40" xr:uid="{00000000-0002-0000-0000-000043000000}">
      <formula1>INDIRECT($D$40)</formula1>
    </dataValidation>
    <dataValidation type="list" allowBlank="1" showInputMessage="1" showErrorMessage="1" sqref="H40:I40" xr:uid="{00000000-0002-0000-0000-000044000000}">
      <formula1>INDIRECT($F$40)</formula1>
    </dataValidation>
    <dataValidation type="list" allowBlank="1" showInputMessage="1" showErrorMessage="1" sqref="J40:K40" xr:uid="{00000000-0002-0000-0000-000045000000}">
      <formula1>INDIRECT($H$40)</formula1>
    </dataValidation>
    <dataValidation type="list" allowBlank="1" showErrorMessage="1" error="Seleccione el numeral de la lista desplegable" promptTitle="Seleccione" prompt="Seleccione un Numeral de la lista" sqref="F41:G41" xr:uid="{00000000-0002-0000-0000-000046000000}">
      <formula1>INDIRECT($D$41)</formula1>
    </dataValidation>
    <dataValidation type="list" allowBlank="1" showInputMessage="1" showErrorMessage="1" sqref="H41:I41" xr:uid="{00000000-0002-0000-0000-000047000000}">
      <formula1>INDIRECT($F$41)</formula1>
    </dataValidation>
    <dataValidation type="list" allowBlank="1" showInputMessage="1" showErrorMessage="1" sqref="J41:K41" xr:uid="{00000000-0002-0000-0000-000048000000}">
      <formula1>INDIRECT($H$41)</formula1>
    </dataValidation>
    <dataValidation type="list" allowBlank="1" showErrorMessage="1" error="Seleccione el numeral de la lista desplegable" promptTitle="Seleccione" prompt="Seleccione un Numeral de la lista" sqref="F42:G42" xr:uid="{00000000-0002-0000-0000-000049000000}">
      <formula1>INDIRECT($D$42)</formula1>
    </dataValidation>
    <dataValidation type="list" allowBlank="1" showInputMessage="1" showErrorMessage="1" sqref="H42:I42" xr:uid="{00000000-0002-0000-0000-00004A000000}">
      <formula1>INDIRECT($F$42)</formula1>
    </dataValidation>
    <dataValidation type="list" allowBlank="1" showInputMessage="1" showErrorMessage="1" sqref="J42:K42" xr:uid="{00000000-0002-0000-0000-00004B000000}">
      <formula1>INDIRECT($H$42)</formula1>
    </dataValidation>
    <dataValidation type="list" allowBlank="1" showInputMessage="1" showErrorMessage="1" sqref="D43:E43" xr:uid="{00000000-0002-0000-0000-00004C000000}">
      <formula1>INDIRECT($C$43)</formula1>
    </dataValidation>
    <dataValidation type="list" allowBlank="1" showErrorMessage="1" error="Seleccione el numeral de la lista desplegable" promptTitle="Seleccione" prompt="Seleccione un Numeral de la lista" sqref="F43:G43" xr:uid="{00000000-0002-0000-0000-00004D000000}">
      <formula1>INDIRECT($D$43)</formula1>
    </dataValidation>
    <dataValidation type="list" allowBlank="1" showInputMessage="1" showErrorMessage="1" sqref="H43:I43" xr:uid="{00000000-0002-0000-0000-00004E000000}">
      <formula1>INDIRECT($F$43)</formula1>
    </dataValidation>
    <dataValidation type="list" allowBlank="1" showInputMessage="1" showErrorMessage="1" sqref="J43:K43" xr:uid="{00000000-0002-0000-0000-00004F000000}">
      <formula1>INDIRECT($H$43)</formula1>
    </dataValidation>
    <dataValidation type="list" allowBlank="1" showInputMessage="1" showErrorMessage="1" sqref="D44:E44" xr:uid="{00000000-0002-0000-0000-000050000000}">
      <formula1>INDIRECT($C$44)</formula1>
    </dataValidation>
    <dataValidation type="list" allowBlank="1" showErrorMessage="1" error="Seleccione el numeral de la lista desplegable" promptTitle="Seleccione" prompt="Seleccione un Numeral de la lista" sqref="F44:G44" xr:uid="{00000000-0002-0000-0000-000051000000}">
      <formula1>INDIRECT($D$44)</formula1>
    </dataValidation>
    <dataValidation type="list" allowBlank="1" showInputMessage="1" showErrorMessage="1" sqref="H44:I44" xr:uid="{00000000-0002-0000-0000-000052000000}">
      <formula1>INDIRECT($F$44)</formula1>
    </dataValidation>
    <dataValidation type="list" allowBlank="1" showInputMessage="1" showErrorMessage="1" sqref="J44:K44" xr:uid="{00000000-0002-0000-0000-000053000000}">
      <formula1>INDIRECT($H$44)</formula1>
    </dataValidation>
    <dataValidation type="list" allowBlank="1" showInputMessage="1" showErrorMessage="1" sqref="C18" xr:uid="{00000000-0002-0000-0000-000054000000}">
      <formula1>INDIRECT($B$18)</formula1>
    </dataValidation>
    <dataValidation type="list" allowBlank="1" showInputMessage="1" showErrorMessage="1" sqref="C19" xr:uid="{00000000-0002-0000-0000-000055000000}">
      <formula1>INDIRECT($B$19)</formula1>
    </dataValidation>
    <dataValidation type="list" allowBlank="1" showInputMessage="1" showErrorMessage="1" sqref="C44" xr:uid="{00000000-0002-0000-0000-000056000000}">
      <formula1>INDIRECT($B$44)</formula1>
    </dataValidation>
    <dataValidation type="list" allowBlank="1" showInputMessage="1" showErrorMessage="1" sqref="C20" xr:uid="{00000000-0002-0000-0000-000057000000}">
      <formula1>INDIRECT($B20)</formula1>
    </dataValidation>
    <dataValidation type="list" allowBlank="1" showInputMessage="1" showErrorMessage="1" sqref="C21" xr:uid="{00000000-0002-0000-0000-000058000000}">
      <formula1>INDIRECT($B$21)</formula1>
    </dataValidation>
    <dataValidation type="list" allowBlank="1" showInputMessage="1" showErrorMessage="1" sqref="C22" xr:uid="{00000000-0002-0000-0000-000059000000}">
      <formula1>INDIRECT($B$22)</formula1>
    </dataValidation>
    <dataValidation type="list" allowBlank="1" showInputMessage="1" showErrorMessage="1" sqref="C23" xr:uid="{00000000-0002-0000-0000-00005A000000}">
      <formula1>INDIRECT($B$23)</formula1>
    </dataValidation>
    <dataValidation type="list" allowBlank="1" showInputMessage="1" showErrorMessage="1" sqref="C24" xr:uid="{00000000-0002-0000-0000-00005B000000}">
      <formula1>INDIRECT($B$24)</formula1>
    </dataValidation>
    <dataValidation type="list" allowBlank="1" showInputMessage="1" showErrorMessage="1" sqref="C28" xr:uid="{00000000-0002-0000-0000-00005C000000}">
      <formula1>INDIRECT($B$28)</formula1>
    </dataValidation>
    <dataValidation type="list" allowBlank="1" showInputMessage="1" showErrorMessage="1" sqref="C29" xr:uid="{00000000-0002-0000-0000-00005D000000}">
      <formula1>INDIRECT($B$29)</formula1>
    </dataValidation>
    <dataValidation type="list" allowBlank="1" showInputMessage="1" showErrorMessage="1" sqref="C30" xr:uid="{00000000-0002-0000-0000-00005E000000}">
      <formula1>INDIRECT($B$30)</formula1>
    </dataValidation>
    <dataValidation type="list" allowBlank="1" showInputMessage="1" showErrorMessage="1" sqref="C31" xr:uid="{00000000-0002-0000-0000-00005F000000}">
      <formula1>INDIRECT($B$31)</formula1>
    </dataValidation>
    <dataValidation type="list" allowBlank="1" showInputMessage="1" showErrorMessage="1" sqref="C32" xr:uid="{00000000-0002-0000-0000-000060000000}">
      <formula1>INDIRECT($B$32)</formula1>
    </dataValidation>
    <dataValidation type="list" allowBlank="1" showInputMessage="1" showErrorMessage="1" sqref="C33" xr:uid="{00000000-0002-0000-0000-000061000000}">
      <formula1>INDIRECT($B$33)</formula1>
    </dataValidation>
    <dataValidation type="list" allowBlank="1" showInputMessage="1" showErrorMessage="1" sqref="C34" xr:uid="{00000000-0002-0000-0000-000062000000}">
      <formula1>INDIRECT($B$34)</formula1>
    </dataValidation>
    <dataValidation type="list" allowBlank="1" showInputMessage="1" showErrorMessage="1" sqref="C38" xr:uid="{00000000-0002-0000-0000-000063000000}">
      <formula1>INDIRECT($B$38)</formula1>
    </dataValidation>
    <dataValidation type="list" allowBlank="1" showInputMessage="1" showErrorMessage="1" sqref="C39" xr:uid="{00000000-0002-0000-0000-000064000000}">
      <formula1>INDIRECT($B$39)</formula1>
    </dataValidation>
    <dataValidation type="list" allowBlank="1" showInputMessage="1" showErrorMessage="1" sqref="C40" xr:uid="{00000000-0002-0000-0000-000065000000}">
      <formula1>INDIRECT($B$40)</formula1>
    </dataValidation>
    <dataValidation type="list" allowBlank="1" showInputMessage="1" showErrorMessage="1" sqref="C41" xr:uid="{00000000-0002-0000-0000-000066000000}">
      <formula1>INDIRECT($B$41)</formula1>
    </dataValidation>
    <dataValidation type="list" allowBlank="1" showInputMessage="1" showErrorMessage="1" sqref="D41:E41" xr:uid="{00000000-0002-0000-0000-000067000000}">
      <formula1>INDIRECT($C$41)</formula1>
    </dataValidation>
    <dataValidation type="list" allowBlank="1" showInputMessage="1" showErrorMessage="1" sqref="D42:E42" xr:uid="{00000000-0002-0000-0000-000068000000}">
      <formula1>INDIRECT($C$42)</formula1>
    </dataValidation>
    <dataValidation type="list" allowBlank="1" showInputMessage="1" showErrorMessage="1" sqref="C42" xr:uid="{00000000-0002-0000-0000-000069000000}">
      <formula1>INDIRECT($B$42)</formula1>
    </dataValidation>
    <dataValidation type="list" allowBlank="1" showInputMessage="1" showErrorMessage="1" sqref="C43" xr:uid="{00000000-0002-0000-0000-00006A000000}">
      <formula1>INDIRECT($B$43)</formula1>
    </dataValidation>
  </dataValidations>
  <pageMargins left="0.23622047244094491" right="0.23622047244094491" top="0.94488188976377963" bottom="0.74803149606299213" header="0.31496062992125984" footer="0.31496062992125984"/>
  <pageSetup scale="82" fitToWidth="0" fitToHeight="0" orientation="portrait" r:id="rId1"/>
  <headerFooter>
    <oddHeader>&amp;L&amp;G&amp;C&amp;"Arial,Negrita"&amp;16&amp;K03+000Proceso Estratégico Gestión de la Certificación
Informe General de Auditorías Internas</oddHead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16</xdr:col>
                    <xdr:colOff>123825</xdr:colOff>
                    <xdr:row>6</xdr:row>
                    <xdr:rowOff>19050</xdr:rowOff>
                  </from>
                  <to>
                    <xdr:col>17</xdr:col>
                    <xdr:colOff>171450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6" name="Check Box 10">
              <controlPr defaultSize="0" autoFill="0" autoLine="0" autoPict="0">
                <anchor moveWithCells="1">
                  <from>
                    <xdr:col>23</xdr:col>
                    <xdr:colOff>85725</xdr:colOff>
                    <xdr:row>6</xdr:row>
                    <xdr:rowOff>19050</xdr:rowOff>
                  </from>
                  <to>
                    <xdr:col>23</xdr:col>
                    <xdr:colOff>333375</xdr:colOff>
                    <xdr:row>7</xdr:row>
                    <xdr:rowOff>38100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F10B1F-F57A-4789-9F03-349BEA6CFF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Q7:R7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205" yWindow="623" count="10">
        <x14:dataValidation type="list" allowBlank="1" showInputMessage="1" showErrorMessage="1" promptTitle="Seleccione" prompt="Seleccione un proceso de la lista desplegable." xr:uid="{00000000-0002-0000-0000-00006B000000}">
          <x14:formula1>
            <xm:f>'BD - PROCESOS'!$A$1:$F$1</xm:f>
          </x14:formula1>
          <xm:sqref>O3:AD3</xm:sqref>
        </x14:dataValidation>
        <x14:dataValidation type="list" allowBlank="1" showInputMessage="1" showErrorMessage="1" xr:uid="{00000000-0002-0000-0000-00006C000000}">
          <x14:formula1>
            <xm:f>'ISO14001'!$C$5:$C$6</xm:f>
          </x14:formula1>
          <xm:sqref>B44</xm:sqref>
        </x14:dataValidation>
        <x14:dataValidation type="list" allowBlank="1" showInputMessage="1" showErrorMessage="1" promptTitle="Seleccione" prompt="Seleccione una ISO de la lista desplegable._x000a_" xr:uid="{00000000-0002-0000-0000-00006D000000}">
          <x14:formula1>
            <xm:f>'ISO14001'!$C$5:$C$6</xm:f>
          </x14:formula1>
          <xm:sqref>B18</xm:sqref>
        </x14:dataValidation>
        <x14:dataValidation type="list" allowBlank="1" showInputMessage="1" showErrorMessage="1" promptTitle="Seleccione" prompt="Seleccione una ISO de la lista desplegable" xr:uid="{00000000-0002-0000-0000-00006E000000}">
          <x14:formula1>
            <xm:f>'ISO14001'!$C$5:$C$6</xm:f>
          </x14:formula1>
          <xm:sqref>B20</xm:sqref>
        </x14:dataValidation>
        <x14:dataValidation type="list" allowBlank="1" showInputMessage="1" showErrorMessage="1" promptTitle="Seleccione" prompt="Seleccione una ISO de la lista desplegable." xr:uid="{00000000-0002-0000-0000-00006F000000}">
          <x14:formula1>
            <xm:f>'ISO14001'!$C$5:$C$6</xm:f>
          </x14:formula1>
          <xm:sqref>A68:B74 B38:B43 B28:B34 B21:B24</xm:sqref>
        </x14:dataValidation>
        <x14:dataValidation type="list" allowBlank="1" showInputMessage="1" showErrorMessage="1" xr:uid="{00000000-0002-0000-0000-000070000000}">
          <x14:formula1>
            <xm:f>'ISO14001'!$E$6:$E$7</xm:f>
          </x14:formula1>
          <xm:sqref>D58:D63 E63 E58 A49:B53</xm:sqref>
        </x14:dataValidation>
        <x14:dataValidation type="list" allowBlank="1" showInputMessage="1" promptTitle="Seleccione" prompt="Seleccione una ISO de la lista desplegable._x000a_" xr:uid="{00000000-0002-0000-0000-000071000000}">
          <x14:formula1>
            <xm:f>'ISO14001'!$C$5:$C$6</xm:f>
          </x14:formula1>
          <xm:sqref>B19</xm:sqref>
        </x14:dataValidation>
        <x14:dataValidation type="list" allowBlank="1" showInputMessage="1" showErrorMessage="1" xr:uid="{00000000-0002-0000-0000-000072000000}">
          <x14:formula1>
            <xm:f>'ISO14001'!$G$6:$G$17</xm:f>
          </x14:formula1>
          <xm:sqref>X2</xm:sqref>
        </x14:dataValidation>
        <x14:dataValidation type="list" allowBlank="1" showInputMessage="1" showErrorMessage="1" xr:uid="{00000000-0002-0000-0000-000073000000}">
          <x14:formula1>
            <xm:f>'ISO14001'!$A$6:$A$36</xm:f>
          </x14:formula1>
          <xm:sqref>Q2:U2 L85:N85 M90:N90</xm:sqref>
        </x14:dataValidation>
        <x14:dataValidation type="list" allowBlank="1" showInputMessage="1" showErrorMessage="1" xr:uid="{00000000-0002-0000-0000-000074000000}">
          <x14:formula1>
            <xm:f>'ISO14001'!$I$6:$I$17</xm:f>
          </x14:formula1>
          <xm:sqref>U90:W90 U85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I42"/>
  <sheetViews>
    <sheetView zoomScale="90" zoomScaleNormal="90" workbookViewId="0">
      <selection activeCell="F9" sqref="F9"/>
    </sheetView>
  </sheetViews>
  <sheetFormatPr baseColWidth="10" defaultColWidth="12" defaultRowHeight="12.75" x14ac:dyDescent="0.2"/>
  <cols>
    <col min="1" max="1" width="39.83203125" style="3" customWidth="1"/>
    <col min="2" max="2" width="37" style="3" customWidth="1"/>
    <col min="3" max="3" width="39.1640625" style="3" customWidth="1"/>
    <col min="4" max="4" width="36.6640625" style="3" customWidth="1"/>
    <col min="5" max="5" width="33.83203125" style="3" customWidth="1"/>
    <col min="6" max="6" width="28.33203125" style="3" customWidth="1"/>
    <col min="7" max="7" width="28.6640625" style="3" customWidth="1"/>
    <col min="8" max="8" width="27.1640625" style="3" customWidth="1"/>
    <col min="9" max="9" width="28.5" style="3" customWidth="1"/>
    <col min="10" max="16384" width="12" style="3"/>
  </cols>
  <sheetData>
    <row r="1" spans="1:8" ht="40.5" customHeight="1" x14ac:dyDescent="0.2">
      <c r="A1" s="13" t="s">
        <v>42</v>
      </c>
      <c r="B1" s="13" t="s">
        <v>34</v>
      </c>
      <c r="C1" s="14" t="s">
        <v>43</v>
      </c>
      <c r="D1" s="10" t="s">
        <v>44</v>
      </c>
      <c r="E1" s="57" t="s">
        <v>45</v>
      </c>
      <c r="F1" s="57" t="s">
        <v>46</v>
      </c>
      <c r="G1" s="4"/>
      <c r="H1" s="4"/>
    </row>
    <row r="2" spans="1:8" ht="33" customHeight="1" x14ac:dyDescent="0.2">
      <c r="A2" s="54" t="s">
        <v>235</v>
      </c>
      <c r="B2" s="54" t="s">
        <v>233</v>
      </c>
      <c r="C2" s="54" t="s">
        <v>339</v>
      </c>
      <c r="D2" s="54" t="s">
        <v>343</v>
      </c>
      <c r="E2" s="58" t="s">
        <v>346</v>
      </c>
      <c r="F2" s="55" t="s">
        <v>347</v>
      </c>
      <c r="G2" s="4"/>
      <c r="H2" s="4"/>
    </row>
    <row r="3" spans="1:8" ht="32.25" customHeight="1" x14ac:dyDescent="0.2">
      <c r="A3" s="54" t="s">
        <v>238</v>
      </c>
      <c r="B3" s="54" t="s">
        <v>229</v>
      </c>
      <c r="C3" s="54" t="s">
        <v>340</v>
      </c>
      <c r="D3" s="54" t="s">
        <v>344</v>
      </c>
      <c r="E3" s="56" t="s">
        <v>348</v>
      </c>
      <c r="G3" s="4"/>
      <c r="H3" s="4"/>
    </row>
    <row r="4" spans="1:8" ht="32.25" customHeight="1" x14ac:dyDescent="0.2">
      <c r="A4" s="54" t="s">
        <v>237</v>
      </c>
      <c r="B4" s="54" t="s">
        <v>232</v>
      </c>
      <c r="C4" s="54" t="s">
        <v>341</v>
      </c>
      <c r="D4" s="55" t="s">
        <v>345</v>
      </c>
      <c r="E4" s="58" t="s">
        <v>350</v>
      </c>
      <c r="F4" s="4"/>
      <c r="G4" s="4"/>
      <c r="H4" s="4"/>
    </row>
    <row r="5" spans="1:8" ht="46.5" customHeight="1" x14ac:dyDescent="0.2">
      <c r="A5" s="54" t="s">
        <v>236</v>
      </c>
      <c r="B5" s="54" t="s">
        <v>234</v>
      </c>
      <c r="C5" s="54" t="s">
        <v>342</v>
      </c>
      <c r="D5" s="4"/>
      <c r="E5" s="56" t="s">
        <v>392</v>
      </c>
      <c r="F5" s="4"/>
      <c r="G5" s="4"/>
      <c r="H5" s="4"/>
    </row>
    <row r="6" spans="1:8" ht="37.5" customHeight="1" x14ac:dyDescent="0.2">
      <c r="A6" s="11" t="s">
        <v>33</v>
      </c>
      <c r="B6" s="54" t="s">
        <v>231</v>
      </c>
      <c r="C6" s="54" t="s">
        <v>352</v>
      </c>
      <c r="D6" s="4"/>
      <c r="E6" s="58" t="s">
        <v>351</v>
      </c>
      <c r="F6" s="4"/>
      <c r="G6" s="4"/>
      <c r="H6" s="4"/>
    </row>
    <row r="7" spans="1:8" ht="31.5" customHeight="1" x14ac:dyDescent="0.2">
      <c r="A7" s="11" t="s">
        <v>31</v>
      </c>
      <c r="B7" s="55" t="s">
        <v>349</v>
      </c>
      <c r="C7" s="55" t="s">
        <v>230</v>
      </c>
      <c r="D7" s="4"/>
      <c r="E7" s="4"/>
      <c r="F7" s="4"/>
      <c r="G7" s="4"/>
      <c r="H7" s="4"/>
    </row>
    <row r="8" spans="1:8" ht="29.25" customHeight="1" x14ac:dyDescent="0.2">
      <c r="A8" s="11" t="s">
        <v>35</v>
      </c>
      <c r="B8" s="4"/>
      <c r="C8" s="4"/>
      <c r="D8" s="4"/>
      <c r="E8" s="4"/>
      <c r="F8" s="4"/>
      <c r="G8" s="4"/>
      <c r="H8" s="4"/>
    </row>
    <row r="9" spans="1:8" ht="30.75" customHeight="1" x14ac:dyDescent="0.2">
      <c r="A9" s="11" t="s">
        <v>36</v>
      </c>
      <c r="B9" s="4"/>
      <c r="C9" s="4"/>
      <c r="D9" s="4"/>
      <c r="E9" s="4"/>
      <c r="F9" s="4"/>
      <c r="G9" s="4"/>
      <c r="H9" s="4"/>
    </row>
    <row r="10" spans="1:8" ht="25.5" customHeight="1" x14ac:dyDescent="0.2">
      <c r="A10" s="11" t="s">
        <v>37</v>
      </c>
      <c r="B10" s="4"/>
      <c r="C10" s="4"/>
      <c r="D10" s="4"/>
      <c r="E10" s="4"/>
      <c r="F10" s="4"/>
      <c r="G10" s="4"/>
      <c r="H10" s="4"/>
    </row>
    <row r="11" spans="1:8" ht="24" customHeight="1" x14ac:dyDescent="0.2">
      <c r="A11" s="11" t="s">
        <v>38</v>
      </c>
      <c r="B11" s="4"/>
      <c r="C11" s="4"/>
      <c r="D11" s="4"/>
      <c r="E11" s="4"/>
      <c r="F11" s="4"/>
      <c r="G11" s="4"/>
      <c r="H11" s="4"/>
    </row>
    <row r="12" spans="1:8" ht="25.5" customHeight="1" x14ac:dyDescent="0.2">
      <c r="A12" s="11" t="s">
        <v>39</v>
      </c>
      <c r="B12" s="4"/>
      <c r="C12" s="4"/>
      <c r="D12" s="4"/>
      <c r="E12" s="4"/>
      <c r="F12" s="4"/>
      <c r="G12" s="4"/>
      <c r="H12" s="4"/>
    </row>
    <row r="13" spans="1:8" ht="27.75" customHeight="1" x14ac:dyDescent="0.2">
      <c r="A13" s="11" t="s">
        <v>40</v>
      </c>
      <c r="B13" s="4"/>
      <c r="C13" s="4"/>
      <c r="D13" s="4"/>
      <c r="E13" s="4"/>
      <c r="F13" s="4"/>
      <c r="G13" s="4"/>
      <c r="H13" s="4"/>
    </row>
    <row r="14" spans="1:8" ht="21.75" customHeight="1" x14ac:dyDescent="0.2">
      <c r="A14" s="12" t="s">
        <v>32</v>
      </c>
      <c r="B14" s="4"/>
      <c r="C14" s="4"/>
      <c r="D14" s="4"/>
      <c r="F14" s="4"/>
      <c r="G14" s="4"/>
      <c r="H14" s="4"/>
    </row>
    <row r="18" spans="1:9" x14ac:dyDescent="0.2">
      <c r="E18" s="9" t="s">
        <v>37</v>
      </c>
    </row>
    <row r="19" spans="1:9" x14ac:dyDescent="0.2">
      <c r="A19" s="59" t="s">
        <v>41</v>
      </c>
      <c r="B19" s="8" t="s">
        <v>31</v>
      </c>
      <c r="C19" s="5" t="s">
        <v>35</v>
      </c>
      <c r="D19" s="5" t="s">
        <v>36</v>
      </c>
      <c r="E19" s="6" t="s">
        <v>299</v>
      </c>
      <c r="F19" s="10" t="s">
        <v>39</v>
      </c>
      <c r="G19" s="10" t="s">
        <v>40</v>
      </c>
      <c r="H19" s="10" t="s">
        <v>32</v>
      </c>
      <c r="I19" s="10" t="s">
        <v>38</v>
      </c>
    </row>
    <row r="20" spans="1:9" ht="63.75" customHeight="1" x14ac:dyDescent="0.2">
      <c r="A20" s="59" t="s">
        <v>239</v>
      </c>
      <c r="B20" s="61" t="s">
        <v>245</v>
      </c>
      <c r="C20" s="6" t="s">
        <v>279</v>
      </c>
      <c r="D20" s="54" t="s">
        <v>364</v>
      </c>
      <c r="E20" s="62" t="s">
        <v>256</v>
      </c>
      <c r="F20" s="54" t="s">
        <v>249</v>
      </c>
      <c r="G20" s="54" t="s">
        <v>258</v>
      </c>
      <c r="H20" s="54" t="s">
        <v>273</v>
      </c>
      <c r="I20" s="54" t="s">
        <v>325</v>
      </c>
    </row>
    <row r="21" spans="1:9" ht="37.5" customHeight="1" x14ac:dyDescent="0.2">
      <c r="A21" s="59" t="s">
        <v>241</v>
      </c>
      <c r="B21" s="61" t="s">
        <v>247</v>
      </c>
      <c r="C21" s="62" t="s">
        <v>263</v>
      </c>
      <c r="D21" s="54" t="s">
        <v>276</v>
      </c>
      <c r="E21" s="54" t="s">
        <v>369</v>
      </c>
      <c r="F21" s="54" t="s">
        <v>250</v>
      </c>
      <c r="G21" s="54" t="s">
        <v>260</v>
      </c>
      <c r="H21" s="54" t="s">
        <v>253</v>
      </c>
      <c r="I21" s="54" t="s">
        <v>326</v>
      </c>
    </row>
    <row r="22" spans="1:9" ht="79.5" customHeight="1" x14ac:dyDescent="0.2">
      <c r="A22" s="59" t="s">
        <v>240</v>
      </c>
      <c r="B22" s="61" t="s">
        <v>246</v>
      </c>
      <c r="C22" s="54" t="s">
        <v>284</v>
      </c>
      <c r="D22" s="62" t="s">
        <v>264</v>
      </c>
      <c r="E22" s="62" t="s">
        <v>257</v>
      </c>
      <c r="F22" s="54" t="s">
        <v>251</v>
      </c>
      <c r="G22" s="54" t="s">
        <v>259</v>
      </c>
      <c r="H22" s="54" t="s">
        <v>316</v>
      </c>
      <c r="I22" s="54" t="s">
        <v>327</v>
      </c>
    </row>
    <row r="23" spans="1:9" ht="69" customHeight="1" x14ac:dyDescent="0.2">
      <c r="A23" s="59" t="s">
        <v>243</v>
      </c>
      <c r="B23" s="61" t="s">
        <v>283</v>
      </c>
      <c r="C23" s="62" t="s">
        <v>261</v>
      </c>
      <c r="D23" s="62" t="s">
        <v>282</v>
      </c>
      <c r="E23" s="6" t="s">
        <v>300</v>
      </c>
      <c r="F23" s="54" t="s">
        <v>308</v>
      </c>
      <c r="G23" s="54" t="s">
        <v>312</v>
      </c>
      <c r="H23" s="54" t="s">
        <v>317</v>
      </c>
      <c r="I23" s="54" t="s">
        <v>268</v>
      </c>
    </row>
    <row r="24" spans="1:9" ht="83.25" customHeight="1" x14ac:dyDescent="0.2">
      <c r="A24" s="59" t="s">
        <v>244</v>
      </c>
      <c r="B24" s="61" t="s">
        <v>248</v>
      </c>
      <c r="C24" s="54" t="s">
        <v>362</v>
      </c>
      <c r="D24" s="62" t="s">
        <v>266</v>
      </c>
      <c r="E24" s="62" t="s">
        <v>254</v>
      </c>
      <c r="F24" s="54" t="s">
        <v>309</v>
      </c>
      <c r="G24" s="54" t="s">
        <v>313</v>
      </c>
      <c r="H24" s="54" t="s">
        <v>318</v>
      </c>
      <c r="I24" s="54" t="s">
        <v>270</v>
      </c>
    </row>
    <row r="25" spans="1:9" ht="75" customHeight="1" x14ac:dyDescent="0.2">
      <c r="A25" s="60" t="s">
        <v>242</v>
      </c>
      <c r="C25" s="54" t="s">
        <v>285</v>
      </c>
      <c r="D25" s="54" t="s">
        <v>294</v>
      </c>
      <c r="E25" s="6" t="s">
        <v>301</v>
      </c>
      <c r="F25" s="54" t="s">
        <v>310</v>
      </c>
      <c r="G25" s="54" t="s">
        <v>314</v>
      </c>
      <c r="H25" s="54" t="s">
        <v>319</v>
      </c>
      <c r="I25" s="54" t="s">
        <v>271</v>
      </c>
    </row>
    <row r="26" spans="1:9" ht="60.75" customHeight="1" x14ac:dyDescent="0.2">
      <c r="C26" s="6" t="s">
        <v>286</v>
      </c>
      <c r="D26" s="54" t="s">
        <v>295</v>
      </c>
      <c r="E26" s="62" t="s">
        <v>255</v>
      </c>
      <c r="F26" s="55" t="s">
        <v>311</v>
      </c>
      <c r="G26" s="54" t="s">
        <v>281</v>
      </c>
      <c r="H26" s="54" t="s">
        <v>320</v>
      </c>
      <c r="I26" s="54" t="s">
        <v>272</v>
      </c>
    </row>
    <row r="27" spans="1:9" ht="72.75" customHeight="1" x14ac:dyDescent="0.2">
      <c r="C27" s="6" t="s">
        <v>287</v>
      </c>
      <c r="D27" s="6" t="s">
        <v>296</v>
      </c>
      <c r="E27" s="54" t="s">
        <v>370</v>
      </c>
      <c r="F27" s="63" t="s">
        <v>275</v>
      </c>
      <c r="G27" s="55" t="s">
        <v>315</v>
      </c>
      <c r="H27" s="54" t="s">
        <v>321</v>
      </c>
      <c r="I27" s="54" t="s">
        <v>267</v>
      </c>
    </row>
    <row r="28" spans="1:9" ht="57" customHeight="1" x14ac:dyDescent="0.2">
      <c r="C28" s="54" t="s">
        <v>288</v>
      </c>
      <c r="D28" s="54" t="s">
        <v>365</v>
      </c>
      <c r="E28" s="6" t="s">
        <v>302</v>
      </c>
      <c r="H28" s="54" t="s">
        <v>274</v>
      </c>
      <c r="I28" s="54" t="s">
        <v>328</v>
      </c>
    </row>
    <row r="29" spans="1:9" ht="55.5" customHeight="1" x14ac:dyDescent="0.2">
      <c r="C29" s="6" t="s">
        <v>289</v>
      </c>
      <c r="D29" s="54" t="s">
        <v>297</v>
      </c>
      <c r="E29" s="54" t="s">
        <v>371</v>
      </c>
      <c r="H29" s="54" t="s">
        <v>322</v>
      </c>
      <c r="I29" s="64" t="s">
        <v>269</v>
      </c>
    </row>
    <row r="30" spans="1:9" ht="48" customHeight="1" x14ac:dyDescent="0.2">
      <c r="C30" s="54" t="s">
        <v>363</v>
      </c>
      <c r="D30" s="54" t="s">
        <v>366</v>
      </c>
      <c r="E30" s="54" t="s">
        <v>372</v>
      </c>
      <c r="H30" s="54" t="s">
        <v>323</v>
      </c>
      <c r="I30" s="64" t="s">
        <v>329</v>
      </c>
    </row>
    <row r="31" spans="1:9" ht="48.75" customHeight="1" x14ac:dyDescent="0.2">
      <c r="C31" s="6" t="s">
        <v>280</v>
      </c>
      <c r="D31" s="54" t="s">
        <v>367</v>
      </c>
      <c r="E31" s="54" t="s">
        <v>303</v>
      </c>
      <c r="H31" s="54" t="s">
        <v>324</v>
      </c>
      <c r="I31" s="64" t="s">
        <v>330</v>
      </c>
    </row>
    <row r="32" spans="1:9" ht="40.5" customHeight="1" x14ac:dyDescent="0.2">
      <c r="C32" s="6" t="s">
        <v>290</v>
      </c>
      <c r="D32" s="54" t="s">
        <v>298</v>
      </c>
      <c r="E32" s="54" t="s">
        <v>373</v>
      </c>
      <c r="H32" s="55" t="s">
        <v>252</v>
      </c>
      <c r="I32" s="64" t="s">
        <v>331</v>
      </c>
    </row>
    <row r="33" spans="3:9" ht="45" customHeight="1" x14ac:dyDescent="0.2">
      <c r="C33" s="6" t="s">
        <v>291</v>
      </c>
      <c r="D33" s="6" t="s">
        <v>277</v>
      </c>
      <c r="E33" s="54" t="s">
        <v>304</v>
      </c>
      <c r="I33" s="64" t="s">
        <v>332</v>
      </c>
    </row>
    <row r="34" spans="3:9" ht="39" customHeight="1" x14ac:dyDescent="0.2">
      <c r="C34" s="62" t="s">
        <v>262</v>
      </c>
      <c r="D34" s="62" t="s">
        <v>265</v>
      </c>
      <c r="E34" s="54" t="s">
        <v>305</v>
      </c>
      <c r="I34" s="64" t="s">
        <v>333</v>
      </c>
    </row>
    <row r="35" spans="3:9" ht="70.5" customHeight="1" x14ac:dyDescent="0.2">
      <c r="C35" s="6" t="s">
        <v>292</v>
      </c>
      <c r="D35" s="55" t="s">
        <v>368</v>
      </c>
      <c r="E35" s="54" t="s">
        <v>306</v>
      </c>
      <c r="I35" s="64" t="s">
        <v>334</v>
      </c>
    </row>
    <row r="36" spans="3:9" ht="53.25" customHeight="1" x14ac:dyDescent="0.2">
      <c r="C36" s="7" t="s">
        <v>293</v>
      </c>
      <c r="E36" s="55" t="s">
        <v>307</v>
      </c>
      <c r="I36" s="64" t="s">
        <v>278</v>
      </c>
    </row>
    <row r="37" spans="3:9" x14ac:dyDescent="0.2">
      <c r="I37" s="64" t="s">
        <v>335</v>
      </c>
    </row>
    <row r="38" spans="3:9" ht="45" customHeight="1" x14ac:dyDescent="0.2">
      <c r="I38" s="64" t="s">
        <v>336</v>
      </c>
    </row>
    <row r="39" spans="3:9" ht="42" customHeight="1" x14ac:dyDescent="0.2">
      <c r="I39" s="64" t="s">
        <v>337</v>
      </c>
    </row>
    <row r="40" spans="3:9" ht="42.75" customHeight="1" x14ac:dyDescent="0.2">
      <c r="I40" s="64" t="s">
        <v>338</v>
      </c>
    </row>
    <row r="41" spans="3:9" ht="55.5" customHeight="1" x14ac:dyDescent="0.2"/>
    <row r="42" spans="3:9" ht="55.5" customHeight="1" x14ac:dyDescent="0.2"/>
  </sheetData>
  <pageMargins left="0.7" right="0.7" top="0.75" bottom="0.75" header="0.3" footer="0.3"/>
  <pageSetup orientation="portrait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4:O81"/>
  <sheetViews>
    <sheetView workbookViewId="0">
      <selection activeCell="J8" sqref="J8"/>
    </sheetView>
  </sheetViews>
  <sheetFormatPr baseColWidth="10" defaultRowHeight="12.75" x14ac:dyDescent="0.2"/>
  <cols>
    <col min="3" max="3" width="33.5" customWidth="1"/>
    <col min="5" max="5" width="29.6640625" customWidth="1"/>
    <col min="7" max="7" width="28.1640625" customWidth="1"/>
    <col min="9" max="9" width="31" customWidth="1"/>
    <col min="11" max="11" width="25.33203125" customWidth="1"/>
    <col min="13" max="13" width="25.1640625" customWidth="1"/>
    <col min="15" max="15" width="23.33203125" customWidth="1"/>
  </cols>
  <sheetData>
    <row r="4" spans="1:9" x14ac:dyDescent="0.2">
      <c r="C4" s="32" t="s">
        <v>126</v>
      </c>
    </row>
    <row r="5" spans="1:9" x14ac:dyDescent="0.2">
      <c r="A5" s="32" t="s">
        <v>375</v>
      </c>
      <c r="C5" s="33" t="s">
        <v>128</v>
      </c>
      <c r="E5" s="15" t="s">
        <v>227</v>
      </c>
      <c r="G5" s="32" t="s">
        <v>374</v>
      </c>
      <c r="I5" s="32" t="s">
        <v>376</v>
      </c>
    </row>
    <row r="6" spans="1:9" x14ac:dyDescent="0.2">
      <c r="A6" s="52">
        <v>1</v>
      </c>
      <c r="C6" s="34" t="s">
        <v>129</v>
      </c>
      <c r="E6" s="52">
        <v>14001</v>
      </c>
      <c r="G6" s="52">
        <v>1</v>
      </c>
      <c r="I6" s="33" t="s">
        <v>377</v>
      </c>
    </row>
    <row r="7" spans="1:9" x14ac:dyDescent="0.2">
      <c r="A7" s="52">
        <v>2</v>
      </c>
      <c r="E7" s="53">
        <v>9001</v>
      </c>
      <c r="G7" s="52">
        <v>2</v>
      </c>
      <c r="I7" s="33" t="s">
        <v>378</v>
      </c>
    </row>
    <row r="8" spans="1:9" x14ac:dyDescent="0.2">
      <c r="A8" s="52">
        <v>3</v>
      </c>
      <c r="G8" s="52">
        <v>3</v>
      </c>
      <c r="I8" s="33" t="s">
        <v>379</v>
      </c>
    </row>
    <row r="9" spans="1:9" x14ac:dyDescent="0.2">
      <c r="A9" s="52">
        <v>4</v>
      </c>
      <c r="G9" s="52">
        <v>4</v>
      </c>
      <c r="I9" s="33" t="s">
        <v>380</v>
      </c>
    </row>
    <row r="10" spans="1:9" x14ac:dyDescent="0.2">
      <c r="A10" s="52">
        <v>5</v>
      </c>
      <c r="G10" s="52">
        <v>5</v>
      </c>
      <c r="I10" s="33" t="s">
        <v>381</v>
      </c>
    </row>
    <row r="11" spans="1:9" x14ac:dyDescent="0.2">
      <c r="A11" s="52">
        <v>6</v>
      </c>
      <c r="C11" s="15" t="s">
        <v>128</v>
      </c>
      <c r="G11" s="52">
        <v>6</v>
      </c>
      <c r="I11" s="33" t="s">
        <v>382</v>
      </c>
    </row>
    <row r="12" spans="1:9" x14ac:dyDescent="0.2">
      <c r="A12" s="52">
        <v>7</v>
      </c>
      <c r="C12" s="16" t="s">
        <v>47</v>
      </c>
      <c r="G12" s="52">
        <v>7</v>
      </c>
      <c r="I12" s="33" t="s">
        <v>383</v>
      </c>
    </row>
    <row r="13" spans="1:9" x14ac:dyDescent="0.2">
      <c r="A13" s="52">
        <v>8</v>
      </c>
      <c r="C13" s="16" t="s">
        <v>48</v>
      </c>
      <c r="G13" s="52">
        <v>8</v>
      </c>
      <c r="I13" s="33" t="s">
        <v>384</v>
      </c>
    </row>
    <row r="14" spans="1:9" x14ac:dyDescent="0.2">
      <c r="A14" s="52">
        <v>9</v>
      </c>
      <c r="C14" s="16" t="s">
        <v>49</v>
      </c>
      <c r="G14" s="52">
        <v>9</v>
      </c>
      <c r="I14" s="33" t="s">
        <v>361</v>
      </c>
    </row>
    <row r="15" spans="1:9" x14ac:dyDescent="0.2">
      <c r="A15" s="52">
        <v>10</v>
      </c>
      <c r="C15" s="16" t="s">
        <v>50</v>
      </c>
      <c r="G15" s="52">
        <v>10</v>
      </c>
      <c r="I15" s="33" t="s">
        <v>385</v>
      </c>
    </row>
    <row r="16" spans="1:9" x14ac:dyDescent="0.2">
      <c r="A16" s="52">
        <v>11</v>
      </c>
      <c r="C16" s="16" t="s">
        <v>51</v>
      </c>
      <c r="G16" s="52">
        <v>11</v>
      </c>
      <c r="I16" s="33" t="s">
        <v>386</v>
      </c>
    </row>
    <row r="17" spans="1:15" x14ac:dyDescent="0.2">
      <c r="A17" s="52">
        <v>12</v>
      </c>
      <c r="C17" s="16" t="s">
        <v>52</v>
      </c>
      <c r="G17" s="53">
        <v>12</v>
      </c>
      <c r="I17" s="34" t="s">
        <v>387</v>
      </c>
    </row>
    <row r="18" spans="1:15" x14ac:dyDescent="0.2">
      <c r="A18" s="52">
        <v>13</v>
      </c>
      <c r="C18" s="17" t="s">
        <v>53</v>
      </c>
    </row>
    <row r="19" spans="1:15" x14ac:dyDescent="0.2">
      <c r="A19" s="52">
        <v>14</v>
      </c>
      <c r="C19" s="2"/>
    </row>
    <row r="20" spans="1:15" x14ac:dyDescent="0.2">
      <c r="A20" s="52">
        <v>15</v>
      </c>
      <c r="C20" s="2"/>
    </row>
    <row r="21" spans="1:15" x14ac:dyDescent="0.2">
      <c r="A21" s="52">
        <v>16</v>
      </c>
      <c r="C21" s="2"/>
    </row>
    <row r="22" spans="1:15" x14ac:dyDescent="0.2">
      <c r="A22" s="52">
        <v>17</v>
      </c>
      <c r="C22" s="15" t="s">
        <v>47</v>
      </c>
      <c r="E22" s="18" t="s">
        <v>48</v>
      </c>
      <c r="G22" s="18" t="s">
        <v>49</v>
      </c>
      <c r="I22" s="18" t="s">
        <v>50</v>
      </c>
      <c r="K22" s="18" t="s">
        <v>51</v>
      </c>
      <c r="M22" s="18" t="s">
        <v>52</v>
      </c>
      <c r="O22" s="18" t="s">
        <v>53</v>
      </c>
    </row>
    <row r="23" spans="1:15" ht="26.25" customHeight="1" x14ac:dyDescent="0.2">
      <c r="A23" s="52">
        <v>18</v>
      </c>
      <c r="C23" s="16" t="s">
        <v>59</v>
      </c>
      <c r="E23" s="19" t="s">
        <v>66</v>
      </c>
      <c r="G23" s="19" t="s">
        <v>70</v>
      </c>
      <c r="I23" s="19" t="s">
        <v>76</v>
      </c>
      <c r="K23" s="19" t="s">
        <v>84</v>
      </c>
      <c r="M23" s="19" t="s">
        <v>86</v>
      </c>
      <c r="O23" s="19" t="s">
        <v>93</v>
      </c>
    </row>
    <row r="24" spans="1:15" ht="26.25" customHeight="1" x14ac:dyDescent="0.2">
      <c r="A24" s="52">
        <v>19</v>
      </c>
      <c r="C24" s="16" t="s">
        <v>57</v>
      </c>
      <c r="E24" s="19" t="s">
        <v>67</v>
      </c>
      <c r="G24" s="20" t="s">
        <v>71</v>
      </c>
      <c r="I24" s="19" t="s">
        <v>77</v>
      </c>
      <c r="K24" s="20" t="s">
        <v>85</v>
      </c>
      <c r="M24" s="20" t="s">
        <v>87</v>
      </c>
      <c r="O24" s="20" t="s">
        <v>94</v>
      </c>
    </row>
    <row r="25" spans="1:15" ht="23.25" customHeight="1" x14ac:dyDescent="0.2">
      <c r="A25" s="52">
        <v>20</v>
      </c>
      <c r="C25" s="16" t="s">
        <v>58</v>
      </c>
      <c r="E25" s="20" t="s">
        <v>68</v>
      </c>
      <c r="I25" s="20" t="s">
        <v>78</v>
      </c>
      <c r="M25" s="20" t="s">
        <v>88</v>
      </c>
      <c r="O25" s="20" t="s">
        <v>95</v>
      </c>
    </row>
    <row r="26" spans="1:15" x14ac:dyDescent="0.2">
      <c r="A26" s="52">
        <v>21</v>
      </c>
      <c r="C26" s="17" t="s">
        <v>60</v>
      </c>
      <c r="I26" s="20" t="s">
        <v>79</v>
      </c>
    </row>
    <row r="27" spans="1:15" x14ac:dyDescent="0.2">
      <c r="A27" s="52">
        <v>22</v>
      </c>
      <c r="C27" s="2"/>
      <c r="I27" s="20" t="s">
        <v>80</v>
      </c>
      <c r="K27" s="18" t="s">
        <v>84</v>
      </c>
    </row>
    <row r="28" spans="1:15" x14ac:dyDescent="0.2">
      <c r="A28" s="52">
        <v>23</v>
      </c>
      <c r="C28" s="2"/>
      <c r="K28" s="19" t="s">
        <v>54</v>
      </c>
      <c r="M28" s="19" t="s">
        <v>86</v>
      </c>
      <c r="O28" s="18" t="s">
        <v>94</v>
      </c>
    </row>
    <row r="29" spans="1:15" x14ac:dyDescent="0.2">
      <c r="A29" s="52">
        <v>24</v>
      </c>
      <c r="C29" s="18" t="s">
        <v>57</v>
      </c>
      <c r="E29" s="21" t="s">
        <v>66</v>
      </c>
      <c r="G29" s="18" t="s">
        <v>70</v>
      </c>
      <c r="K29" s="20" t="s">
        <v>55</v>
      </c>
      <c r="M29" s="19" t="s">
        <v>89</v>
      </c>
      <c r="O29" s="19" t="s">
        <v>54</v>
      </c>
    </row>
    <row r="30" spans="1:15" x14ac:dyDescent="0.2">
      <c r="A30" s="52">
        <v>25</v>
      </c>
      <c r="C30" s="19" t="s">
        <v>54</v>
      </c>
      <c r="E30" s="22" t="s">
        <v>54</v>
      </c>
      <c r="G30" s="19" t="s">
        <v>72</v>
      </c>
      <c r="I30" s="18" t="s">
        <v>77</v>
      </c>
      <c r="K30" s="20" t="s">
        <v>56</v>
      </c>
      <c r="M30" s="19" t="s">
        <v>90</v>
      </c>
      <c r="O30" s="20" t="s">
        <v>55</v>
      </c>
    </row>
    <row r="31" spans="1:15" x14ac:dyDescent="0.2">
      <c r="A31" s="52">
        <v>26</v>
      </c>
      <c r="C31" s="20" t="s">
        <v>55</v>
      </c>
      <c r="E31" s="23" t="s">
        <v>55</v>
      </c>
      <c r="G31" s="20" t="s">
        <v>73</v>
      </c>
      <c r="I31" s="19" t="s">
        <v>54</v>
      </c>
      <c r="K31" s="20" t="s">
        <v>61</v>
      </c>
      <c r="O31" s="20" t="s">
        <v>56</v>
      </c>
    </row>
    <row r="32" spans="1:15" x14ac:dyDescent="0.2">
      <c r="A32" s="52">
        <v>27</v>
      </c>
      <c r="C32" s="20" t="s">
        <v>56</v>
      </c>
      <c r="E32" s="22" t="s">
        <v>56</v>
      </c>
      <c r="G32" s="20" t="s">
        <v>97</v>
      </c>
      <c r="I32" s="20" t="s">
        <v>55</v>
      </c>
      <c r="O32" s="20" t="s">
        <v>61</v>
      </c>
    </row>
    <row r="33" spans="1:15" x14ac:dyDescent="0.2">
      <c r="A33" s="52">
        <v>28</v>
      </c>
      <c r="C33" s="2"/>
      <c r="E33" s="23" t="s">
        <v>61</v>
      </c>
      <c r="G33" s="20" t="s">
        <v>96</v>
      </c>
      <c r="I33" s="20" t="s">
        <v>56</v>
      </c>
      <c r="M33" s="18" t="s">
        <v>89</v>
      </c>
      <c r="O33" s="20" t="s">
        <v>62</v>
      </c>
    </row>
    <row r="34" spans="1:15" x14ac:dyDescent="0.2">
      <c r="A34" s="52">
        <v>29</v>
      </c>
      <c r="C34" s="2"/>
      <c r="E34" s="22" t="s">
        <v>62</v>
      </c>
      <c r="I34" s="20" t="s">
        <v>61</v>
      </c>
      <c r="K34" s="18" t="s">
        <v>85</v>
      </c>
      <c r="M34" s="19" t="s">
        <v>54</v>
      </c>
    </row>
    <row r="35" spans="1:15" x14ac:dyDescent="0.2">
      <c r="A35" s="52">
        <v>30</v>
      </c>
      <c r="C35" s="18" t="s">
        <v>58</v>
      </c>
      <c r="E35" s="23" t="s">
        <v>63</v>
      </c>
      <c r="K35" s="19" t="s">
        <v>54</v>
      </c>
      <c r="M35" s="20" t="s">
        <v>55</v>
      </c>
    </row>
    <row r="36" spans="1:15" x14ac:dyDescent="0.2">
      <c r="A36" s="53">
        <v>31</v>
      </c>
      <c r="C36" s="19" t="s">
        <v>54</v>
      </c>
      <c r="E36" s="22" t="s">
        <v>64</v>
      </c>
      <c r="G36" s="18" t="s">
        <v>72</v>
      </c>
      <c r="K36" s="19" t="s">
        <v>55</v>
      </c>
      <c r="M36" s="20" t="s">
        <v>56</v>
      </c>
    </row>
    <row r="37" spans="1:15" x14ac:dyDescent="0.2">
      <c r="C37" s="19" t="s">
        <v>55</v>
      </c>
      <c r="E37" s="23" t="s">
        <v>65</v>
      </c>
      <c r="G37" s="19" t="s">
        <v>54</v>
      </c>
      <c r="I37" s="18" t="s">
        <v>78</v>
      </c>
      <c r="K37" s="20" t="s">
        <v>56</v>
      </c>
      <c r="M37" s="20" t="s">
        <v>61</v>
      </c>
    </row>
    <row r="38" spans="1:15" x14ac:dyDescent="0.2">
      <c r="C38" s="20" t="s">
        <v>56</v>
      </c>
      <c r="E38" s="24" t="s">
        <v>69</v>
      </c>
      <c r="G38" s="20" t="s">
        <v>55</v>
      </c>
      <c r="I38" s="19" t="s">
        <v>54</v>
      </c>
      <c r="K38" s="20" t="s">
        <v>61</v>
      </c>
      <c r="M38" s="20" t="s">
        <v>62</v>
      </c>
    </row>
    <row r="39" spans="1:15" x14ac:dyDescent="0.2">
      <c r="C39" s="20" t="s">
        <v>61</v>
      </c>
      <c r="G39" s="20" t="s">
        <v>56</v>
      </c>
      <c r="I39" s="20" t="s">
        <v>55</v>
      </c>
      <c r="K39" s="20" t="s">
        <v>62</v>
      </c>
    </row>
    <row r="40" spans="1:15" x14ac:dyDescent="0.2">
      <c r="C40" s="20" t="s">
        <v>62</v>
      </c>
      <c r="I40" s="20" t="s">
        <v>56</v>
      </c>
      <c r="K40" s="20" t="s">
        <v>63</v>
      </c>
    </row>
    <row r="41" spans="1:15" x14ac:dyDescent="0.2">
      <c r="E41" s="18" t="s">
        <v>67</v>
      </c>
      <c r="I41" s="20" t="s">
        <v>61</v>
      </c>
      <c r="M41" s="18" t="s">
        <v>90</v>
      </c>
    </row>
    <row r="42" spans="1:15" x14ac:dyDescent="0.2">
      <c r="E42" s="19" t="s">
        <v>54</v>
      </c>
      <c r="G42" s="18" t="s">
        <v>73</v>
      </c>
      <c r="M42" s="19" t="s">
        <v>54</v>
      </c>
    </row>
    <row r="43" spans="1:15" x14ac:dyDescent="0.2">
      <c r="E43" s="19" t="s">
        <v>55</v>
      </c>
      <c r="G43" s="19" t="s">
        <v>54</v>
      </c>
      <c r="M43" s="20" t="s">
        <v>55</v>
      </c>
    </row>
    <row r="44" spans="1:15" x14ac:dyDescent="0.2">
      <c r="E44" s="20" t="s">
        <v>56</v>
      </c>
      <c r="G44" s="20" t="s">
        <v>55</v>
      </c>
      <c r="I44" s="18" t="s">
        <v>79</v>
      </c>
      <c r="M44" s="20" t="s">
        <v>56</v>
      </c>
    </row>
    <row r="45" spans="1:15" x14ac:dyDescent="0.2">
      <c r="E45" s="20" t="s">
        <v>61</v>
      </c>
      <c r="I45" s="19" t="s">
        <v>106</v>
      </c>
    </row>
    <row r="46" spans="1:15" x14ac:dyDescent="0.2">
      <c r="E46" s="20" t="s">
        <v>62</v>
      </c>
      <c r="I46" s="19" t="s">
        <v>107</v>
      </c>
    </row>
    <row r="47" spans="1:15" x14ac:dyDescent="0.2">
      <c r="G47" s="18" t="s">
        <v>97</v>
      </c>
      <c r="I47" s="19" t="s">
        <v>108</v>
      </c>
      <c r="M47" s="19" t="s">
        <v>87</v>
      </c>
    </row>
    <row r="48" spans="1:15" x14ac:dyDescent="0.2">
      <c r="G48" s="19" t="s">
        <v>54</v>
      </c>
      <c r="M48" s="19" t="s">
        <v>91</v>
      </c>
    </row>
    <row r="49" spans="5:13" x14ac:dyDescent="0.2">
      <c r="E49" s="18" t="s">
        <v>68</v>
      </c>
      <c r="G49" s="20" t="s">
        <v>55</v>
      </c>
      <c r="M49" s="19" t="s">
        <v>92</v>
      </c>
    </row>
    <row r="50" spans="5:13" x14ac:dyDescent="0.2">
      <c r="E50" s="19" t="s">
        <v>54</v>
      </c>
      <c r="G50" s="20" t="s">
        <v>56</v>
      </c>
      <c r="I50" s="18" t="s">
        <v>106</v>
      </c>
    </row>
    <row r="51" spans="5:13" x14ac:dyDescent="0.2">
      <c r="E51" s="20" t="s">
        <v>55</v>
      </c>
      <c r="I51" s="19" t="s">
        <v>54</v>
      </c>
    </row>
    <row r="52" spans="5:13" x14ac:dyDescent="0.2">
      <c r="I52" s="20" t="s">
        <v>55</v>
      </c>
      <c r="M52" s="18" t="s">
        <v>91</v>
      </c>
    </row>
    <row r="53" spans="5:13" x14ac:dyDescent="0.2">
      <c r="G53" s="18" t="s">
        <v>96</v>
      </c>
      <c r="I53" s="20" t="s">
        <v>56</v>
      </c>
      <c r="M53" s="19" t="s">
        <v>54</v>
      </c>
    </row>
    <row r="54" spans="5:13" x14ac:dyDescent="0.2">
      <c r="G54" s="19" t="s">
        <v>54</v>
      </c>
      <c r="I54" s="20" t="s">
        <v>61</v>
      </c>
      <c r="M54" s="20" t="s">
        <v>55</v>
      </c>
    </row>
    <row r="55" spans="5:13" x14ac:dyDescent="0.2">
      <c r="G55" s="20" t="s">
        <v>55</v>
      </c>
    </row>
    <row r="57" spans="5:13" x14ac:dyDescent="0.2">
      <c r="I57" s="18" t="s">
        <v>107</v>
      </c>
      <c r="M57" s="18" t="s">
        <v>92</v>
      </c>
    </row>
    <row r="58" spans="5:13" x14ac:dyDescent="0.2">
      <c r="G58" s="18" t="s">
        <v>71</v>
      </c>
      <c r="I58" s="19" t="s">
        <v>54</v>
      </c>
      <c r="M58" s="19" t="s">
        <v>54</v>
      </c>
    </row>
    <row r="59" spans="5:13" x14ac:dyDescent="0.2">
      <c r="G59" s="19" t="s">
        <v>74</v>
      </c>
      <c r="I59" s="20" t="s">
        <v>55</v>
      </c>
      <c r="M59" s="20" t="s">
        <v>55</v>
      </c>
    </row>
    <row r="60" spans="5:13" x14ac:dyDescent="0.2">
      <c r="G60" s="20" t="s">
        <v>74</v>
      </c>
      <c r="M60" s="20" t="s">
        <v>56</v>
      </c>
    </row>
    <row r="62" spans="5:13" x14ac:dyDescent="0.2">
      <c r="I62" s="18" t="s">
        <v>80</v>
      </c>
    </row>
    <row r="63" spans="5:13" x14ac:dyDescent="0.2">
      <c r="G63" s="18" t="s">
        <v>74</v>
      </c>
      <c r="I63" s="19" t="s">
        <v>81</v>
      </c>
      <c r="M63" s="18" t="s">
        <v>88</v>
      </c>
    </row>
    <row r="64" spans="5:13" x14ac:dyDescent="0.2">
      <c r="G64" s="19" t="s">
        <v>54</v>
      </c>
      <c r="I64" s="19" t="s">
        <v>82</v>
      </c>
      <c r="M64" s="19" t="s">
        <v>54</v>
      </c>
    </row>
    <row r="65" spans="7:13" x14ac:dyDescent="0.2">
      <c r="G65" s="19" t="s">
        <v>55</v>
      </c>
      <c r="I65" s="19" t="s">
        <v>83</v>
      </c>
      <c r="M65" s="19" t="s">
        <v>55</v>
      </c>
    </row>
    <row r="66" spans="7:13" x14ac:dyDescent="0.2">
      <c r="G66" s="20" t="s">
        <v>56</v>
      </c>
      <c r="M66" s="20" t="s">
        <v>56</v>
      </c>
    </row>
    <row r="67" spans="7:13" x14ac:dyDescent="0.2">
      <c r="G67" s="20" t="s">
        <v>61</v>
      </c>
      <c r="M67" s="20" t="s">
        <v>61</v>
      </c>
    </row>
    <row r="68" spans="7:13" x14ac:dyDescent="0.2">
      <c r="G68" s="20" t="s">
        <v>62</v>
      </c>
      <c r="I68" s="18" t="s">
        <v>81</v>
      </c>
      <c r="M68" s="20" t="s">
        <v>62</v>
      </c>
    </row>
    <row r="69" spans="7:13" x14ac:dyDescent="0.2">
      <c r="I69" s="19" t="s">
        <v>54</v>
      </c>
      <c r="M69" s="20" t="s">
        <v>63</v>
      </c>
    </row>
    <row r="70" spans="7:13" x14ac:dyDescent="0.2">
      <c r="I70" s="20" t="s">
        <v>55</v>
      </c>
      <c r="M70" s="20" t="s">
        <v>64</v>
      </c>
    </row>
    <row r="71" spans="7:13" x14ac:dyDescent="0.2">
      <c r="G71" s="18" t="s">
        <v>75</v>
      </c>
    </row>
    <row r="72" spans="7:13" x14ac:dyDescent="0.2">
      <c r="G72" s="19" t="s">
        <v>54</v>
      </c>
    </row>
    <row r="73" spans="7:13" x14ac:dyDescent="0.2">
      <c r="G73" s="19" t="s">
        <v>55</v>
      </c>
      <c r="I73" s="18" t="s">
        <v>82</v>
      </c>
    </row>
    <row r="74" spans="7:13" x14ac:dyDescent="0.2">
      <c r="G74" s="20" t="s">
        <v>56</v>
      </c>
      <c r="I74" s="19" t="s">
        <v>54</v>
      </c>
    </row>
    <row r="75" spans="7:13" x14ac:dyDescent="0.2">
      <c r="G75" s="20" t="s">
        <v>61</v>
      </c>
      <c r="I75" s="20" t="s">
        <v>55</v>
      </c>
    </row>
    <row r="76" spans="7:13" x14ac:dyDescent="0.2">
      <c r="G76" s="20" t="s">
        <v>62</v>
      </c>
      <c r="I76" s="20" t="s">
        <v>56</v>
      </c>
    </row>
    <row r="79" spans="7:13" x14ac:dyDescent="0.2">
      <c r="I79" s="18" t="s">
        <v>83</v>
      </c>
    </row>
    <row r="80" spans="7:13" x14ac:dyDescent="0.2">
      <c r="I80" s="19" t="s">
        <v>54</v>
      </c>
    </row>
    <row r="81" spans="9:9" x14ac:dyDescent="0.2">
      <c r="I81" s="20" t="s">
        <v>55</v>
      </c>
    </row>
  </sheetData>
  <pageMargins left="0.7" right="0.7" top="0.75" bottom="0.75" header="0.3" footer="0.3"/>
  <pageSetup orientation="portrait" r:id="rId1"/>
  <tableParts count="4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1:O208"/>
  <sheetViews>
    <sheetView topLeftCell="A8" zoomScale="180" zoomScaleNormal="180" workbookViewId="0">
      <selection activeCell="N47" sqref="N47"/>
    </sheetView>
  </sheetViews>
  <sheetFormatPr baseColWidth="10" defaultColWidth="12" defaultRowHeight="12.75" x14ac:dyDescent="0.2"/>
  <cols>
    <col min="1" max="2" width="12" style="40"/>
    <col min="3" max="3" width="30" style="40" customWidth="1"/>
    <col min="4" max="4" width="12" style="40"/>
    <col min="5" max="5" width="25.83203125" style="40" customWidth="1"/>
    <col min="6" max="6" width="12" style="40"/>
    <col min="7" max="7" width="25.5" style="40" customWidth="1"/>
    <col min="8" max="8" width="12" style="40"/>
    <col min="9" max="9" width="23.6640625" style="40" customWidth="1"/>
    <col min="10" max="10" width="12" style="40"/>
    <col min="11" max="11" width="25.1640625" style="40" customWidth="1"/>
    <col min="12" max="12" width="12" style="40"/>
    <col min="13" max="13" width="24.33203125" style="40" customWidth="1"/>
    <col min="14" max="14" width="12" style="40"/>
    <col min="15" max="15" width="22.33203125" style="40" customWidth="1"/>
    <col min="16" max="16384" width="12" style="40"/>
  </cols>
  <sheetData>
    <row r="11" spans="3:3" x14ac:dyDescent="0.2">
      <c r="C11" s="39" t="s">
        <v>129</v>
      </c>
    </row>
    <row r="12" spans="3:3" x14ac:dyDescent="0.2">
      <c r="C12" s="41" t="s">
        <v>133</v>
      </c>
    </row>
    <row r="13" spans="3:3" x14ac:dyDescent="0.2">
      <c r="C13" s="41" t="s">
        <v>134</v>
      </c>
    </row>
    <row r="14" spans="3:3" x14ac:dyDescent="0.2">
      <c r="C14" s="41" t="s">
        <v>135</v>
      </c>
    </row>
    <row r="15" spans="3:3" x14ac:dyDescent="0.2">
      <c r="C15" s="41" t="s">
        <v>136</v>
      </c>
    </row>
    <row r="16" spans="3:3" x14ac:dyDescent="0.2">
      <c r="C16" s="41" t="s">
        <v>137</v>
      </c>
    </row>
    <row r="17" spans="3:15" x14ac:dyDescent="0.2">
      <c r="C17" s="41" t="s">
        <v>138</v>
      </c>
    </row>
    <row r="18" spans="3:15" x14ac:dyDescent="0.2">
      <c r="C18" s="42" t="s">
        <v>139</v>
      </c>
    </row>
    <row r="22" spans="3:15" x14ac:dyDescent="0.2">
      <c r="C22" s="39" t="s">
        <v>133</v>
      </c>
      <c r="E22" s="43" t="s">
        <v>134</v>
      </c>
      <c r="G22" s="43" t="s">
        <v>135</v>
      </c>
      <c r="I22" s="43" t="s">
        <v>136</v>
      </c>
      <c r="K22" s="43" t="s">
        <v>137</v>
      </c>
      <c r="M22" s="43" t="s">
        <v>138</v>
      </c>
      <c r="O22" s="43" t="s">
        <v>139</v>
      </c>
    </row>
    <row r="23" spans="3:15" x14ac:dyDescent="0.2">
      <c r="C23" s="41" t="s">
        <v>140</v>
      </c>
      <c r="E23" s="44" t="s">
        <v>146</v>
      </c>
      <c r="G23" s="44" t="s">
        <v>159</v>
      </c>
      <c r="I23" s="44" t="s">
        <v>160</v>
      </c>
      <c r="K23" s="44" t="s">
        <v>178</v>
      </c>
      <c r="M23" s="44" t="s">
        <v>208</v>
      </c>
      <c r="O23" s="44" t="s">
        <v>219</v>
      </c>
    </row>
    <row r="24" spans="3:15" x14ac:dyDescent="0.2">
      <c r="C24" s="41" t="s">
        <v>141</v>
      </c>
      <c r="E24" s="44" t="s">
        <v>149</v>
      </c>
      <c r="G24" s="44" t="s">
        <v>156</v>
      </c>
      <c r="I24" s="44" t="s">
        <v>161</v>
      </c>
      <c r="K24" s="44" t="s">
        <v>179</v>
      </c>
      <c r="M24" s="44" t="s">
        <v>209</v>
      </c>
      <c r="O24" s="44" t="s">
        <v>220</v>
      </c>
    </row>
    <row r="25" spans="3:15" x14ac:dyDescent="0.2">
      <c r="C25" s="41" t="s">
        <v>142</v>
      </c>
      <c r="E25" s="45" t="s">
        <v>152</v>
      </c>
      <c r="G25" s="45" t="s">
        <v>153</v>
      </c>
      <c r="I25" s="45" t="s">
        <v>162</v>
      </c>
      <c r="K25" s="45" t="s">
        <v>180</v>
      </c>
      <c r="M25" s="44" t="s">
        <v>210</v>
      </c>
      <c r="O25" s="44" t="s">
        <v>221</v>
      </c>
    </row>
    <row r="26" spans="3:15" x14ac:dyDescent="0.2">
      <c r="C26" s="42" t="s">
        <v>143</v>
      </c>
      <c r="I26" s="45" t="s">
        <v>163</v>
      </c>
      <c r="K26" s="45" t="s">
        <v>181</v>
      </c>
    </row>
    <row r="27" spans="3:15" x14ac:dyDescent="0.2">
      <c r="I27" s="45" t="s">
        <v>164</v>
      </c>
      <c r="K27" s="45" t="s">
        <v>182</v>
      </c>
    </row>
    <row r="28" spans="3:15" x14ac:dyDescent="0.2">
      <c r="K28" s="45" t="s">
        <v>183</v>
      </c>
      <c r="M28" s="43" t="s">
        <v>208</v>
      </c>
      <c r="O28" s="43" t="s">
        <v>219</v>
      </c>
    </row>
    <row r="29" spans="3:15" x14ac:dyDescent="0.2">
      <c r="C29" s="43" t="s">
        <v>141</v>
      </c>
      <c r="E29" s="43" t="s">
        <v>146</v>
      </c>
      <c r="G29" s="43" t="s">
        <v>159</v>
      </c>
      <c r="K29" s="45" t="s">
        <v>184</v>
      </c>
      <c r="M29" s="44" t="s">
        <v>211</v>
      </c>
      <c r="O29" s="44" t="s">
        <v>54</v>
      </c>
    </row>
    <row r="30" spans="3:15" x14ac:dyDescent="0.2">
      <c r="C30" s="44" t="s">
        <v>54</v>
      </c>
      <c r="E30" s="44" t="s">
        <v>147</v>
      </c>
      <c r="G30" s="44" t="s">
        <v>158</v>
      </c>
      <c r="I30" s="43" t="s">
        <v>160</v>
      </c>
      <c r="M30" s="45" t="s">
        <v>212</v>
      </c>
      <c r="O30" s="45" t="s">
        <v>55</v>
      </c>
    </row>
    <row r="31" spans="3:15" x14ac:dyDescent="0.2">
      <c r="C31" s="45" t="s">
        <v>55</v>
      </c>
      <c r="E31" s="45" t="s">
        <v>148</v>
      </c>
      <c r="G31" s="45" t="s">
        <v>157</v>
      </c>
      <c r="I31" s="44" t="s">
        <v>165</v>
      </c>
      <c r="M31" s="45" t="s">
        <v>213</v>
      </c>
      <c r="O31" s="45" t="s">
        <v>56</v>
      </c>
    </row>
    <row r="32" spans="3:15" x14ac:dyDescent="0.2">
      <c r="I32" s="45" t="s">
        <v>166</v>
      </c>
      <c r="K32" s="43" t="s">
        <v>178</v>
      </c>
    </row>
    <row r="33" spans="3:15" x14ac:dyDescent="0.2">
      <c r="I33" s="45" t="s">
        <v>167</v>
      </c>
      <c r="K33" s="44" t="s">
        <v>54</v>
      </c>
    </row>
    <row r="34" spans="3:15" x14ac:dyDescent="0.2">
      <c r="C34" s="43" t="s">
        <v>142</v>
      </c>
      <c r="E34" s="43" t="s">
        <v>147</v>
      </c>
      <c r="G34" s="43" t="s">
        <v>158</v>
      </c>
      <c r="I34" s="45" t="s">
        <v>168</v>
      </c>
      <c r="K34" s="44" t="s">
        <v>55</v>
      </c>
      <c r="M34" s="43" t="s">
        <v>211</v>
      </c>
      <c r="O34" s="43" t="s">
        <v>220</v>
      </c>
    </row>
    <row r="35" spans="3:15" x14ac:dyDescent="0.2">
      <c r="C35" s="44" t="s">
        <v>54</v>
      </c>
      <c r="E35" s="44" t="s">
        <v>54</v>
      </c>
      <c r="G35" s="44" t="s">
        <v>54</v>
      </c>
      <c r="I35" s="45" t="s">
        <v>169</v>
      </c>
      <c r="K35" s="44" t="s">
        <v>56</v>
      </c>
      <c r="M35" s="44" t="s">
        <v>54</v>
      </c>
      <c r="O35" s="44" t="s">
        <v>222</v>
      </c>
    </row>
    <row r="36" spans="3:15" x14ac:dyDescent="0.2">
      <c r="C36" s="44" t="s">
        <v>55</v>
      </c>
      <c r="E36" s="44" t="s">
        <v>55</v>
      </c>
      <c r="G36" s="44" t="s">
        <v>55</v>
      </c>
      <c r="K36" s="44" t="s">
        <v>61</v>
      </c>
      <c r="M36" s="44" t="s">
        <v>55</v>
      </c>
      <c r="O36" s="45" t="s">
        <v>223</v>
      </c>
    </row>
    <row r="37" spans="3:15" x14ac:dyDescent="0.2">
      <c r="C37" s="45" t="s">
        <v>56</v>
      </c>
      <c r="E37" s="44" t="s">
        <v>56</v>
      </c>
      <c r="G37" s="45" t="s">
        <v>56</v>
      </c>
      <c r="K37" s="45" t="s">
        <v>62</v>
      </c>
      <c r="M37" s="45" t="s">
        <v>56</v>
      </c>
    </row>
    <row r="38" spans="3:15" x14ac:dyDescent="0.2">
      <c r="E38" s="44" t="s">
        <v>61</v>
      </c>
      <c r="G38" s="45" t="s">
        <v>61</v>
      </c>
      <c r="I38" s="43" t="s">
        <v>166</v>
      </c>
      <c r="M38" s="45" t="s">
        <v>61</v>
      </c>
    </row>
    <row r="39" spans="3:15" x14ac:dyDescent="0.2">
      <c r="E39" s="44" t="s">
        <v>62</v>
      </c>
      <c r="I39" s="44" t="s">
        <v>54</v>
      </c>
      <c r="O39" s="43" t="s">
        <v>222</v>
      </c>
    </row>
    <row r="40" spans="3:15" x14ac:dyDescent="0.2">
      <c r="C40" s="43" t="s">
        <v>143</v>
      </c>
      <c r="E40" s="44" t="s">
        <v>63</v>
      </c>
      <c r="I40" s="45" t="s">
        <v>55</v>
      </c>
      <c r="K40" s="43" t="s">
        <v>179</v>
      </c>
      <c r="O40" s="44" t="s">
        <v>54</v>
      </c>
    </row>
    <row r="41" spans="3:15" x14ac:dyDescent="0.2">
      <c r="C41" s="44" t="s">
        <v>144</v>
      </c>
      <c r="E41" s="44" t="s">
        <v>64</v>
      </c>
      <c r="G41" s="43" t="s">
        <v>157</v>
      </c>
      <c r="K41" s="44" t="s">
        <v>185</v>
      </c>
      <c r="M41" s="43" t="s">
        <v>213</v>
      </c>
      <c r="O41" s="44" t="s">
        <v>55</v>
      </c>
    </row>
    <row r="42" spans="3:15" x14ac:dyDescent="0.2">
      <c r="C42" s="45" t="s">
        <v>145</v>
      </c>
      <c r="E42" s="44" t="s">
        <v>65</v>
      </c>
      <c r="G42" s="44" t="s">
        <v>54</v>
      </c>
      <c r="K42" s="45" t="s">
        <v>186</v>
      </c>
      <c r="M42" s="44" t="s">
        <v>54</v>
      </c>
      <c r="O42" s="45" t="s">
        <v>56</v>
      </c>
    </row>
    <row r="43" spans="3:15" x14ac:dyDescent="0.2">
      <c r="E43" s="44" t="s">
        <v>69</v>
      </c>
      <c r="G43" s="45" t="s">
        <v>55</v>
      </c>
      <c r="I43" s="43" t="s">
        <v>167</v>
      </c>
      <c r="K43" s="45" t="s">
        <v>187</v>
      </c>
      <c r="M43" s="44" t="s">
        <v>55</v>
      </c>
      <c r="O43" s="45" t="s">
        <v>61</v>
      </c>
    </row>
    <row r="44" spans="3:15" x14ac:dyDescent="0.2">
      <c r="E44" s="45" t="s">
        <v>132</v>
      </c>
      <c r="I44" s="44" t="s">
        <v>54</v>
      </c>
      <c r="K44" s="45" t="s">
        <v>188</v>
      </c>
      <c r="M44" s="45" t="s">
        <v>56</v>
      </c>
      <c r="O44" s="45" t="s">
        <v>62</v>
      </c>
    </row>
    <row r="45" spans="3:15" x14ac:dyDescent="0.2">
      <c r="C45" s="43" t="s">
        <v>144</v>
      </c>
      <c r="I45" s="44" t="s">
        <v>55</v>
      </c>
      <c r="M45" s="45" t="s">
        <v>61</v>
      </c>
      <c r="O45" s="45" t="s">
        <v>63</v>
      </c>
    </row>
    <row r="46" spans="3:15" x14ac:dyDescent="0.2">
      <c r="C46" s="44" t="s">
        <v>54</v>
      </c>
      <c r="G46" s="43" t="s">
        <v>156</v>
      </c>
      <c r="I46" s="45" t="s">
        <v>56</v>
      </c>
      <c r="M46" s="45" t="s">
        <v>62</v>
      </c>
    </row>
    <row r="47" spans="3:15" x14ac:dyDescent="0.2">
      <c r="C47" s="44" t="s">
        <v>55</v>
      </c>
      <c r="E47" s="43" t="s">
        <v>148</v>
      </c>
      <c r="G47" s="44" t="s">
        <v>155</v>
      </c>
      <c r="I47" s="45" t="s">
        <v>61</v>
      </c>
      <c r="K47" s="43" t="s">
        <v>185</v>
      </c>
      <c r="M47" s="45" t="s">
        <v>63</v>
      </c>
    </row>
    <row r="48" spans="3:15" x14ac:dyDescent="0.2">
      <c r="C48" s="44" t="s">
        <v>56</v>
      </c>
      <c r="E48" s="44" t="s">
        <v>54</v>
      </c>
      <c r="G48" s="44" t="s">
        <v>154</v>
      </c>
      <c r="K48" s="44" t="s">
        <v>54</v>
      </c>
      <c r="M48" s="45" t="s">
        <v>64</v>
      </c>
      <c r="O48" s="43" t="s">
        <v>223</v>
      </c>
    </row>
    <row r="49" spans="3:15" x14ac:dyDescent="0.2">
      <c r="C49" s="44" t="s">
        <v>61</v>
      </c>
      <c r="E49" s="44" t="s">
        <v>55</v>
      </c>
      <c r="K49" s="44" t="s">
        <v>55</v>
      </c>
      <c r="O49" s="44" t="s">
        <v>54</v>
      </c>
    </row>
    <row r="50" spans="3:15" x14ac:dyDescent="0.2">
      <c r="C50" s="44" t="s">
        <v>62</v>
      </c>
      <c r="E50" s="45" t="s">
        <v>56</v>
      </c>
      <c r="I50" s="43" t="s">
        <v>168</v>
      </c>
      <c r="K50" s="45" t="s">
        <v>56</v>
      </c>
      <c r="O50" s="45" t="s">
        <v>55</v>
      </c>
    </row>
    <row r="51" spans="3:15" x14ac:dyDescent="0.2">
      <c r="C51" s="44" t="s">
        <v>63</v>
      </c>
      <c r="G51" s="43" t="s">
        <v>155</v>
      </c>
      <c r="I51" s="44" t="s">
        <v>54</v>
      </c>
      <c r="K51" s="45" t="s">
        <v>61</v>
      </c>
      <c r="M51" s="43" t="s">
        <v>209</v>
      </c>
    </row>
    <row r="52" spans="3:15" x14ac:dyDescent="0.2">
      <c r="C52" s="44" t="s">
        <v>64</v>
      </c>
      <c r="G52" s="44" t="s">
        <v>54</v>
      </c>
      <c r="I52" s="45" t="s">
        <v>55</v>
      </c>
      <c r="K52" s="45" t="s">
        <v>62</v>
      </c>
      <c r="M52" s="44" t="s">
        <v>214</v>
      </c>
    </row>
    <row r="53" spans="3:15" x14ac:dyDescent="0.2">
      <c r="C53" s="45" t="s">
        <v>65</v>
      </c>
      <c r="E53" s="43" t="s">
        <v>149</v>
      </c>
      <c r="G53" s="44" t="s">
        <v>55</v>
      </c>
      <c r="I53" s="45" t="s">
        <v>56</v>
      </c>
      <c r="M53" s="45" t="s">
        <v>215</v>
      </c>
    </row>
    <row r="54" spans="3:15" x14ac:dyDescent="0.2">
      <c r="E54" s="44" t="s">
        <v>150</v>
      </c>
      <c r="G54" s="45" t="s">
        <v>56</v>
      </c>
    </row>
    <row r="55" spans="3:15" x14ac:dyDescent="0.2">
      <c r="E55" s="45" t="s">
        <v>151</v>
      </c>
      <c r="G55" s="45" t="s">
        <v>61</v>
      </c>
      <c r="K55" s="43" t="s">
        <v>186</v>
      </c>
    </row>
    <row r="56" spans="3:15" x14ac:dyDescent="0.2">
      <c r="C56" s="43" t="s">
        <v>145</v>
      </c>
      <c r="G56" s="45" t="s">
        <v>62</v>
      </c>
      <c r="I56" s="43" t="s">
        <v>169</v>
      </c>
      <c r="K56" s="44" t="s">
        <v>54</v>
      </c>
      <c r="M56" s="43" t="s">
        <v>214</v>
      </c>
    </row>
    <row r="57" spans="3:15" x14ac:dyDescent="0.2">
      <c r="C57" s="44" t="s">
        <v>54</v>
      </c>
      <c r="G57" s="45" t="s">
        <v>63</v>
      </c>
      <c r="I57" s="44" t="s">
        <v>170</v>
      </c>
      <c r="K57" s="45" t="s">
        <v>55</v>
      </c>
      <c r="M57" s="44" t="s">
        <v>54</v>
      </c>
    </row>
    <row r="58" spans="3:15" x14ac:dyDescent="0.2">
      <c r="C58" s="45" t="s">
        <v>55</v>
      </c>
      <c r="E58" s="43" t="s">
        <v>150</v>
      </c>
      <c r="G58" s="45" t="s">
        <v>64</v>
      </c>
      <c r="I58" s="44" t="s">
        <v>171</v>
      </c>
      <c r="M58" s="45" t="s">
        <v>55</v>
      </c>
    </row>
    <row r="59" spans="3:15" x14ac:dyDescent="0.2">
      <c r="E59" s="44" t="s">
        <v>54</v>
      </c>
    </row>
    <row r="60" spans="3:15" x14ac:dyDescent="0.2">
      <c r="E60" s="44" t="s">
        <v>55</v>
      </c>
      <c r="K60" s="43" t="s">
        <v>187</v>
      </c>
    </row>
    <row r="61" spans="3:15" x14ac:dyDescent="0.2">
      <c r="E61" s="44" t="s">
        <v>56</v>
      </c>
      <c r="G61" s="43" t="s">
        <v>154</v>
      </c>
      <c r="I61" s="43" t="s">
        <v>170</v>
      </c>
      <c r="K61" s="44" t="s">
        <v>189</v>
      </c>
      <c r="M61" s="43" t="s">
        <v>215</v>
      </c>
    </row>
    <row r="62" spans="3:15" x14ac:dyDescent="0.2">
      <c r="E62" s="45" t="s">
        <v>61</v>
      </c>
      <c r="G62" s="44" t="s">
        <v>54</v>
      </c>
      <c r="I62" s="44" t="s">
        <v>54</v>
      </c>
      <c r="K62" s="44" t="s">
        <v>190</v>
      </c>
      <c r="M62" s="44" t="s">
        <v>54</v>
      </c>
    </row>
    <row r="63" spans="3:15" x14ac:dyDescent="0.2">
      <c r="G63" s="44" t="s">
        <v>55</v>
      </c>
      <c r="I63" s="44" t="s">
        <v>55</v>
      </c>
      <c r="M63" s="45" t="s">
        <v>55</v>
      </c>
    </row>
    <row r="64" spans="3:15" x14ac:dyDescent="0.2">
      <c r="G64" s="45" t="s">
        <v>56</v>
      </c>
      <c r="M64" s="45" t="s">
        <v>56</v>
      </c>
    </row>
    <row r="65" spans="5:13" x14ac:dyDescent="0.2">
      <c r="E65" s="43" t="s">
        <v>151</v>
      </c>
      <c r="G65" s="45" t="s">
        <v>61</v>
      </c>
      <c r="K65" s="43" t="s">
        <v>189</v>
      </c>
      <c r="M65" s="45" t="s">
        <v>61</v>
      </c>
    </row>
    <row r="66" spans="5:13" x14ac:dyDescent="0.2">
      <c r="E66" s="44" t="s">
        <v>54</v>
      </c>
      <c r="G66" s="45" t="s">
        <v>62</v>
      </c>
      <c r="I66" s="43" t="s">
        <v>171</v>
      </c>
      <c r="K66" s="44" t="s">
        <v>54</v>
      </c>
      <c r="M66" s="45" t="s">
        <v>62</v>
      </c>
    </row>
    <row r="67" spans="5:13" x14ac:dyDescent="0.2">
      <c r="E67" s="44" t="s">
        <v>55</v>
      </c>
      <c r="I67" s="44" t="s">
        <v>54</v>
      </c>
      <c r="K67" s="45" t="s">
        <v>55</v>
      </c>
      <c r="M67" s="45" t="s">
        <v>63</v>
      </c>
    </row>
    <row r="68" spans="5:13" x14ac:dyDescent="0.2">
      <c r="E68" s="44" t="s">
        <v>56</v>
      </c>
      <c r="I68" s="44" t="s">
        <v>55</v>
      </c>
      <c r="K68" s="45" t="s">
        <v>56</v>
      </c>
    </row>
    <row r="69" spans="5:13" x14ac:dyDescent="0.2">
      <c r="G69" s="43" t="s">
        <v>153</v>
      </c>
      <c r="I69" s="45" t="s">
        <v>56</v>
      </c>
      <c r="K69" s="45" t="s">
        <v>61</v>
      </c>
    </row>
    <row r="70" spans="5:13" x14ac:dyDescent="0.2">
      <c r="G70" s="44" t="s">
        <v>54</v>
      </c>
      <c r="K70" s="45" t="s">
        <v>62</v>
      </c>
      <c r="M70" s="43" t="s">
        <v>210</v>
      </c>
    </row>
    <row r="71" spans="5:13" x14ac:dyDescent="0.2">
      <c r="E71" s="43" t="s">
        <v>152</v>
      </c>
      <c r="G71" s="44" t="s">
        <v>55</v>
      </c>
      <c r="M71" s="44" t="s">
        <v>216</v>
      </c>
    </row>
    <row r="72" spans="5:13" x14ac:dyDescent="0.2">
      <c r="E72" s="44" t="s">
        <v>54</v>
      </c>
      <c r="G72" s="44" t="s">
        <v>56</v>
      </c>
      <c r="I72" s="43" t="s">
        <v>172</v>
      </c>
      <c r="M72" s="45" t="s">
        <v>217</v>
      </c>
    </row>
    <row r="73" spans="5:13" x14ac:dyDescent="0.2">
      <c r="E73" s="45" t="s">
        <v>55</v>
      </c>
      <c r="G73" s="45" t="s">
        <v>61</v>
      </c>
      <c r="I73" s="44" t="s">
        <v>54</v>
      </c>
      <c r="K73" s="43" t="s">
        <v>190</v>
      </c>
      <c r="M73" s="45" t="s">
        <v>218</v>
      </c>
    </row>
    <row r="74" spans="5:13" x14ac:dyDescent="0.2">
      <c r="E74" s="45" t="s">
        <v>56</v>
      </c>
      <c r="I74" s="44" t="s">
        <v>55</v>
      </c>
      <c r="K74" s="44" t="s">
        <v>54</v>
      </c>
    </row>
    <row r="75" spans="5:13" x14ac:dyDescent="0.2">
      <c r="E75" s="45" t="s">
        <v>61</v>
      </c>
      <c r="K75" s="44" t="s">
        <v>55</v>
      </c>
    </row>
    <row r="76" spans="5:13" x14ac:dyDescent="0.2">
      <c r="E76" s="45" t="s">
        <v>62</v>
      </c>
      <c r="M76" s="43" t="s">
        <v>217</v>
      </c>
    </row>
    <row r="77" spans="5:13" x14ac:dyDescent="0.2">
      <c r="I77" s="43" t="s">
        <v>161</v>
      </c>
      <c r="M77" s="44" t="s">
        <v>54</v>
      </c>
    </row>
    <row r="78" spans="5:13" x14ac:dyDescent="0.2">
      <c r="I78" s="44" t="s">
        <v>54</v>
      </c>
      <c r="K78" s="43" t="s">
        <v>180</v>
      </c>
      <c r="M78" s="44" t="s">
        <v>55</v>
      </c>
    </row>
    <row r="79" spans="5:13" x14ac:dyDescent="0.2">
      <c r="I79" s="44" t="s">
        <v>55</v>
      </c>
      <c r="K79" s="44" t="s">
        <v>191</v>
      </c>
      <c r="M79" s="45" t="s">
        <v>56</v>
      </c>
    </row>
    <row r="80" spans="5:13" x14ac:dyDescent="0.2">
      <c r="I80" s="45" t="s">
        <v>56</v>
      </c>
      <c r="K80" s="45" t="s">
        <v>192</v>
      </c>
      <c r="M80" s="45" t="s">
        <v>61</v>
      </c>
    </row>
    <row r="81" spans="9:13" x14ac:dyDescent="0.2">
      <c r="I81" s="45" t="s">
        <v>61</v>
      </c>
      <c r="K81" s="45" t="s">
        <v>193</v>
      </c>
      <c r="M81" s="45" t="s">
        <v>62</v>
      </c>
    </row>
    <row r="82" spans="9:13" x14ac:dyDescent="0.2">
      <c r="K82" s="45" t="s">
        <v>194</v>
      </c>
      <c r="M82" s="45" t="s">
        <v>63</v>
      </c>
    </row>
    <row r="83" spans="9:13" x14ac:dyDescent="0.2">
      <c r="K83" s="45" t="s">
        <v>195</v>
      </c>
    </row>
    <row r="84" spans="9:13" x14ac:dyDescent="0.2">
      <c r="I84" s="43" t="s">
        <v>162</v>
      </c>
      <c r="K84" s="45" t="s">
        <v>196</v>
      </c>
    </row>
    <row r="85" spans="9:13" x14ac:dyDescent="0.2">
      <c r="I85" s="44" t="s">
        <v>54</v>
      </c>
      <c r="M85" s="43" t="s">
        <v>218</v>
      </c>
    </row>
    <row r="86" spans="9:13" x14ac:dyDescent="0.2">
      <c r="I86" s="44" t="s">
        <v>55</v>
      </c>
      <c r="M86" s="44" t="s">
        <v>54</v>
      </c>
    </row>
    <row r="87" spans="9:13" x14ac:dyDescent="0.2">
      <c r="I87" s="45" t="s">
        <v>56</v>
      </c>
      <c r="K87" s="43" t="s">
        <v>192</v>
      </c>
      <c r="M87" s="44" t="s">
        <v>55</v>
      </c>
    </row>
    <row r="88" spans="9:13" x14ac:dyDescent="0.2">
      <c r="I88" s="45" t="s">
        <v>61</v>
      </c>
      <c r="K88" s="44" t="s">
        <v>54</v>
      </c>
      <c r="M88" s="45" t="s">
        <v>56</v>
      </c>
    </row>
    <row r="89" spans="9:13" x14ac:dyDescent="0.2">
      <c r="K89" s="45" t="s">
        <v>55</v>
      </c>
    </row>
    <row r="90" spans="9:13" x14ac:dyDescent="0.2">
      <c r="K90" s="45" t="s">
        <v>56</v>
      </c>
    </row>
    <row r="91" spans="9:13" x14ac:dyDescent="0.2">
      <c r="I91" s="43" t="s">
        <v>163</v>
      </c>
      <c r="K91" s="45" t="s">
        <v>61</v>
      </c>
    </row>
    <row r="92" spans="9:13" x14ac:dyDescent="0.2">
      <c r="I92" s="44" t="s">
        <v>54</v>
      </c>
      <c r="K92" s="45" t="s">
        <v>62</v>
      </c>
    </row>
    <row r="93" spans="9:13" x14ac:dyDescent="0.2">
      <c r="I93" s="44" t="s">
        <v>55</v>
      </c>
      <c r="K93" s="45" t="s">
        <v>63</v>
      </c>
    </row>
    <row r="94" spans="9:13" x14ac:dyDescent="0.2">
      <c r="I94" s="45" t="s">
        <v>56</v>
      </c>
      <c r="K94" s="45" t="s">
        <v>64</v>
      </c>
    </row>
    <row r="95" spans="9:13" x14ac:dyDescent="0.2">
      <c r="I95" s="45" t="s">
        <v>61</v>
      </c>
      <c r="K95" s="45" t="s">
        <v>65</v>
      </c>
    </row>
    <row r="96" spans="9:13" x14ac:dyDescent="0.2">
      <c r="I96" s="45" t="s">
        <v>62</v>
      </c>
      <c r="K96" s="45" t="s">
        <v>69</v>
      </c>
    </row>
    <row r="97" spans="9:11" x14ac:dyDescent="0.2">
      <c r="K97" s="45" t="s">
        <v>132</v>
      </c>
    </row>
    <row r="99" spans="9:11" x14ac:dyDescent="0.2">
      <c r="I99" s="43" t="s">
        <v>164</v>
      </c>
    </row>
    <row r="100" spans="9:11" x14ac:dyDescent="0.2">
      <c r="I100" s="44" t="s">
        <v>173</v>
      </c>
      <c r="K100" s="43" t="s">
        <v>193</v>
      </c>
    </row>
    <row r="101" spans="9:11" x14ac:dyDescent="0.2">
      <c r="I101" s="44" t="s">
        <v>174</v>
      </c>
      <c r="K101" s="44" t="s">
        <v>54</v>
      </c>
    </row>
    <row r="102" spans="9:11" x14ac:dyDescent="0.2">
      <c r="I102" s="44" t="s">
        <v>175</v>
      </c>
      <c r="K102" s="44" t="s">
        <v>55</v>
      </c>
    </row>
    <row r="103" spans="9:11" x14ac:dyDescent="0.2">
      <c r="K103" s="45" t="s">
        <v>56</v>
      </c>
    </row>
    <row r="104" spans="9:11" x14ac:dyDescent="0.2">
      <c r="K104" s="45" t="s">
        <v>61</v>
      </c>
    </row>
    <row r="105" spans="9:11" x14ac:dyDescent="0.2">
      <c r="I105" s="43" t="s">
        <v>173</v>
      </c>
      <c r="K105" s="45" t="s">
        <v>62</v>
      </c>
    </row>
    <row r="106" spans="9:11" x14ac:dyDescent="0.2">
      <c r="I106" s="44" t="s">
        <v>54</v>
      </c>
    </row>
    <row r="107" spans="9:11" x14ac:dyDescent="0.2">
      <c r="I107" s="44" t="s">
        <v>55</v>
      </c>
    </row>
    <row r="108" spans="9:11" x14ac:dyDescent="0.2">
      <c r="K108" s="43" t="s">
        <v>194</v>
      </c>
    </row>
    <row r="109" spans="9:11" x14ac:dyDescent="0.2">
      <c r="K109" s="44" t="s">
        <v>54</v>
      </c>
    </row>
    <row r="110" spans="9:11" x14ac:dyDescent="0.2">
      <c r="I110" s="43" t="s">
        <v>174</v>
      </c>
      <c r="K110" s="44" t="s">
        <v>55</v>
      </c>
    </row>
    <row r="111" spans="9:11" x14ac:dyDescent="0.2">
      <c r="I111" s="44" t="s">
        <v>54</v>
      </c>
      <c r="K111" s="45" t="s">
        <v>56</v>
      </c>
    </row>
    <row r="112" spans="9:11" x14ac:dyDescent="0.2">
      <c r="I112" s="44" t="s">
        <v>55</v>
      </c>
      <c r="K112" s="45" t="s">
        <v>61</v>
      </c>
    </row>
    <row r="113" spans="9:11" x14ac:dyDescent="0.2">
      <c r="I113" s="45" t="s">
        <v>56</v>
      </c>
      <c r="K113" s="45" t="s">
        <v>62</v>
      </c>
    </row>
    <row r="114" spans="9:11" x14ac:dyDescent="0.2">
      <c r="K114" s="45" t="s">
        <v>63</v>
      </c>
    </row>
    <row r="116" spans="9:11" x14ac:dyDescent="0.2">
      <c r="I116" s="43" t="s">
        <v>175</v>
      </c>
    </row>
    <row r="117" spans="9:11" x14ac:dyDescent="0.2">
      <c r="I117" s="44" t="s">
        <v>176</v>
      </c>
      <c r="K117" s="43" t="s">
        <v>195</v>
      </c>
    </row>
    <row r="118" spans="9:11" x14ac:dyDescent="0.2">
      <c r="I118" s="44" t="s">
        <v>177</v>
      </c>
      <c r="K118" s="44" t="s">
        <v>54</v>
      </c>
    </row>
    <row r="119" spans="9:11" x14ac:dyDescent="0.2">
      <c r="K119" s="44" t="s">
        <v>55</v>
      </c>
    </row>
    <row r="120" spans="9:11" x14ac:dyDescent="0.2">
      <c r="K120" s="45" t="s">
        <v>56</v>
      </c>
    </row>
    <row r="121" spans="9:11" x14ac:dyDescent="0.2">
      <c r="I121" s="43" t="s">
        <v>176</v>
      </c>
      <c r="K121" s="45" t="s">
        <v>61</v>
      </c>
    </row>
    <row r="122" spans="9:11" x14ac:dyDescent="0.2">
      <c r="I122" s="44" t="s">
        <v>54</v>
      </c>
    </row>
    <row r="123" spans="9:11" x14ac:dyDescent="0.2">
      <c r="I123" s="44" t="s">
        <v>55</v>
      </c>
    </row>
    <row r="124" spans="9:11" x14ac:dyDescent="0.2">
      <c r="K124" s="43" t="s">
        <v>196</v>
      </c>
    </row>
    <row r="125" spans="9:11" x14ac:dyDescent="0.2">
      <c r="K125" s="44" t="s">
        <v>54</v>
      </c>
    </row>
    <row r="126" spans="9:11" x14ac:dyDescent="0.2">
      <c r="I126" s="43" t="s">
        <v>177</v>
      </c>
      <c r="K126" s="44" t="s">
        <v>55</v>
      </c>
    </row>
    <row r="127" spans="9:11" x14ac:dyDescent="0.2">
      <c r="I127" s="44" t="s">
        <v>54</v>
      </c>
      <c r="K127" s="45" t="s">
        <v>56</v>
      </c>
    </row>
    <row r="128" spans="9:11" x14ac:dyDescent="0.2">
      <c r="I128" s="44" t="s">
        <v>55</v>
      </c>
      <c r="K128" s="45" t="s">
        <v>61</v>
      </c>
    </row>
    <row r="129" spans="9:11" x14ac:dyDescent="0.2">
      <c r="I129" s="45" t="s">
        <v>56</v>
      </c>
    </row>
    <row r="130" spans="9:11" x14ac:dyDescent="0.2">
      <c r="I130" s="45" t="s">
        <v>61</v>
      </c>
    </row>
    <row r="131" spans="9:11" x14ac:dyDescent="0.2">
      <c r="K131" s="43" t="s">
        <v>181</v>
      </c>
    </row>
    <row r="132" spans="9:11" x14ac:dyDescent="0.2">
      <c r="K132" s="44" t="s">
        <v>197</v>
      </c>
    </row>
    <row r="133" spans="9:11" x14ac:dyDescent="0.2">
      <c r="K133" s="44" t="s">
        <v>198</v>
      </c>
    </row>
    <row r="134" spans="9:11" x14ac:dyDescent="0.2">
      <c r="K134" s="44" t="s">
        <v>199</v>
      </c>
    </row>
    <row r="137" spans="9:11" x14ac:dyDescent="0.2">
      <c r="K137" s="43" t="s">
        <v>197</v>
      </c>
    </row>
    <row r="138" spans="9:11" x14ac:dyDescent="0.2">
      <c r="K138" s="44" t="s">
        <v>54</v>
      </c>
    </row>
    <row r="139" spans="9:11" x14ac:dyDescent="0.2">
      <c r="K139" s="44" t="s">
        <v>55</v>
      </c>
    </row>
    <row r="140" spans="9:11" x14ac:dyDescent="0.2">
      <c r="K140" s="44" t="s">
        <v>56</v>
      </c>
    </row>
    <row r="143" spans="9:11" x14ac:dyDescent="0.2">
      <c r="K143" s="43" t="s">
        <v>198</v>
      </c>
    </row>
    <row r="144" spans="9:11" x14ac:dyDescent="0.2">
      <c r="K144" s="44" t="s">
        <v>54</v>
      </c>
    </row>
    <row r="145" spans="11:11" x14ac:dyDescent="0.2">
      <c r="K145" s="44" t="s">
        <v>55</v>
      </c>
    </row>
    <row r="146" spans="11:11" x14ac:dyDescent="0.2">
      <c r="K146" s="44" t="s">
        <v>56</v>
      </c>
    </row>
    <row r="147" spans="11:11" x14ac:dyDescent="0.2">
      <c r="K147" s="45" t="s">
        <v>61</v>
      </c>
    </row>
    <row r="150" spans="11:11" x14ac:dyDescent="0.2">
      <c r="K150" s="43" t="s">
        <v>199</v>
      </c>
    </row>
    <row r="151" spans="11:11" x14ac:dyDescent="0.2">
      <c r="K151" s="44" t="s">
        <v>54</v>
      </c>
    </row>
    <row r="152" spans="11:11" x14ac:dyDescent="0.2">
      <c r="K152" s="44" t="s">
        <v>55</v>
      </c>
    </row>
    <row r="153" spans="11:11" x14ac:dyDescent="0.2">
      <c r="K153" s="44" t="s">
        <v>56</v>
      </c>
    </row>
    <row r="154" spans="11:11" x14ac:dyDescent="0.2">
      <c r="K154" s="45" t="s">
        <v>61</v>
      </c>
    </row>
    <row r="155" spans="11:11" x14ac:dyDescent="0.2">
      <c r="K155" s="45" t="s">
        <v>62</v>
      </c>
    </row>
    <row r="156" spans="11:11" x14ac:dyDescent="0.2">
      <c r="K156" s="45" t="s">
        <v>63</v>
      </c>
    </row>
    <row r="159" spans="11:11" x14ac:dyDescent="0.2">
      <c r="K159" s="43" t="s">
        <v>182</v>
      </c>
    </row>
    <row r="160" spans="11:11" x14ac:dyDescent="0.2">
      <c r="K160" s="44" t="s">
        <v>200</v>
      </c>
    </row>
    <row r="161" spans="11:11" x14ac:dyDescent="0.2">
      <c r="K161" s="44" t="s">
        <v>201</v>
      </c>
    </row>
    <row r="162" spans="11:11" x14ac:dyDescent="0.2">
      <c r="K162" s="44" t="s">
        <v>202</v>
      </c>
    </row>
    <row r="163" spans="11:11" x14ac:dyDescent="0.2">
      <c r="K163" s="44" t="s">
        <v>203</v>
      </c>
    </row>
    <row r="164" spans="11:11" x14ac:dyDescent="0.2">
      <c r="K164" s="44" t="s">
        <v>204</v>
      </c>
    </row>
    <row r="165" spans="11:11" x14ac:dyDescent="0.2">
      <c r="K165" s="44" t="s">
        <v>205</v>
      </c>
    </row>
    <row r="168" spans="11:11" x14ac:dyDescent="0.2">
      <c r="K168" s="43" t="s">
        <v>200</v>
      </c>
    </row>
    <row r="169" spans="11:11" x14ac:dyDescent="0.2">
      <c r="K169" s="44" t="s">
        <v>54</v>
      </c>
    </row>
    <row r="170" spans="11:11" x14ac:dyDescent="0.2">
      <c r="K170" s="44" t="s">
        <v>55</v>
      </c>
    </row>
    <row r="171" spans="11:11" x14ac:dyDescent="0.2">
      <c r="K171" s="44" t="s">
        <v>56</v>
      </c>
    </row>
    <row r="172" spans="11:11" x14ac:dyDescent="0.2">
      <c r="K172" s="45" t="s">
        <v>61</v>
      </c>
    </row>
    <row r="173" spans="11:11" x14ac:dyDescent="0.2">
      <c r="K173" s="45" t="s">
        <v>62</v>
      </c>
    </row>
    <row r="174" spans="11:11" x14ac:dyDescent="0.2">
      <c r="K174" s="45" t="s">
        <v>63</v>
      </c>
    </row>
    <row r="175" spans="11:11" x14ac:dyDescent="0.2">
      <c r="K175" s="45" t="s">
        <v>64</v>
      </c>
    </row>
    <row r="176" spans="11:11" x14ac:dyDescent="0.2">
      <c r="K176" s="45" t="s">
        <v>65</v>
      </c>
    </row>
    <row r="179" spans="11:11" x14ac:dyDescent="0.2">
      <c r="K179" s="43" t="s">
        <v>204</v>
      </c>
    </row>
    <row r="180" spans="11:11" x14ac:dyDescent="0.2">
      <c r="K180" s="44" t="s">
        <v>54</v>
      </c>
    </row>
    <row r="181" spans="11:11" x14ac:dyDescent="0.2">
      <c r="K181" s="44" t="s">
        <v>55</v>
      </c>
    </row>
    <row r="182" spans="11:11" x14ac:dyDescent="0.2">
      <c r="K182" s="44" t="s">
        <v>56</v>
      </c>
    </row>
    <row r="183" spans="11:11" x14ac:dyDescent="0.2">
      <c r="K183" s="45" t="s">
        <v>61</v>
      </c>
    </row>
    <row r="184" spans="11:11" x14ac:dyDescent="0.2">
      <c r="K184" s="45" t="s">
        <v>62</v>
      </c>
    </row>
    <row r="187" spans="11:11" x14ac:dyDescent="0.2">
      <c r="K187" s="43" t="s">
        <v>183</v>
      </c>
    </row>
    <row r="188" spans="11:11" x14ac:dyDescent="0.2">
      <c r="K188" s="44" t="s">
        <v>54</v>
      </c>
    </row>
    <row r="189" spans="11:11" x14ac:dyDescent="0.2">
      <c r="K189" s="44" t="s">
        <v>55</v>
      </c>
    </row>
    <row r="192" spans="11:11" x14ac:dyDescent="0.2">
      <c r="K192" s="43" t="s">
        <v>184</v>
      </c>
    </row>
    <row r="193" spans="11:11" x14ac:dyDescent="0.2">
      <c r="K193" s="44" t="s">
        <v>206</v>
      </c>
    </row>
    <row r="194" spans="11:11" x14ac:dyDescent="0.2">
      <c r="K194" s="44" t="s">
        <v>207</v>
      </c>
    </row>
    <row r="197" spans="11:11" x14ac:dyDescent="0.2">
      <c r="K197" s="43" t="s">
        <v>206</v>
      </c>
    </row>
    <row r="198" spans="11:11" x14ac:dyDescent="0.2">
      <c r="K198" s="44" t="s">
        <v>54</v>
      </c>
    </row>
    <row r="199" spans="11:11" x14ac:dyDescent="0.2">
      <c r="K199" s="44" t="s">
        <v>55</v>
      </c>
    </row>
    <row r="200" spans="11:11" x14ac:dyDescent="0.2">
      <c r="K200" s="44" t="s">
        <v>56</v>
      </c>
    </row>
    <row r="201" spans="11:11" x14ac:dyDescent="0.2">
      <c r="K201" s="45" t="s">
        <v>61</v>
      </c>
    </row>
    <row r="204" spans="11:11" x14ac:dyDescent="0.2">
      <c r="K204" s="43" t="s">
        <v>207</v>
      </c>
    </row>
    <row r="205" spans="11:11" x14ac:dyDescent="0.2">
      <c r="K205" s="44" t="s">
        <v>54</v>
      </c>
    </row>
    <row r="206" spans="11:11" x14ac:dyDescent="0.2">
      <c r="K206" s="44" t="s">
        <v>55</v>
      </c>
    </row>
    <row r="207" spans="11:11" x14ac:dyDescent="0.2">
      <c r="K207" s="44" t="s">
        <v>56</v>
      </c>
    </row>
    <row r="208" spans="11:11" x14ac:dyDescent="0.2">
      <c r="K208" s="45" t="s">
        <v>61</v>
      </c>
    </row>
  </sheetData>
  <pageMargins left="0.7" right="0.7" top="0.75" bottom="0.75" header="0.3" footer="0.3"/>
  <pageSetup orientation="portrait" r:id="rId1"/>
  <tableParts count="8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Formato</vt:lpstr>
      <vt:lpstr>BD - PROCESOS</vt:lpstr>
      <vt:lpstr>ISO14001</vt:lpstr>
      <vt:lpstr>ISO9001</vt:lpstr>
      <vt:lpstr>Formato!Área_de_impresión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Cesar Eduardo Molano Tobar</cp:lastModifiedBy>
  <cp:lastPrinted>2026-08-04T17:29:43Z</cp:lastPrinted>
  <dcterms:created xsi:type="dcterms:W3CDTF">2023-08-28T17:19:32Z</dcterms:created>
  <dcterms:modified xsi:type="dcterms:W3CDTF">2026-08-04T17:37:28Z</dcterms:modified>
</cp:coreProperties>
</file>